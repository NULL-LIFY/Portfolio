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Renzo\Downloads\DATA ANALYST\00(Portfoiolio PRoject) ANALYSIS DASHBOARD\"/>
    </mc:Choice>
  </mc:AlternateContent>
  <xr:revisionPtr revIDLastSave="0" documentId="13_ncr:1_{35812D27-DD21-4AEA-989E-0F7DE736E93A}" xr6:coauthVersionLast="47" xr6:coauthVersionMax="47" xr10:uidLastSave="{00000000-0000-0000-0000-000000000000}"/>
  <bookViews>
    <workbookView xWindow="-120" yWindow="-120" windowWidth="20730" windowHeight="11040" activeTab="2" xr2:uid="{4E3FFFD9-38F3-4CD7-B08D-4CDD16BC0586}"/>
  </bookViews>
  <sheets>
    <sheet name="Data" sheetId="1" r:id="rId1"/>
    <sheet name="Pivot tables" sheetId="6" r:id="rId2"/>
    <sheet name="Dashboard" sheetId="8" r:id="rId3"/>
  </sheets>
  <definedNames>
    <definedName name="Date">#REF!</definedName>
    <definedName name="Slicer_Calendar1">#N/A</definedName>
    <definedName name="Slicer_Month1">#N/A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 i="1" l="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alcChain>
</file>

<file path=xl/sharedStrings.xml><?xml version="1.0" encoding="utf-8"?>
<sst xmlns="http://schemas.openxmlformats.org/spreadsheetml/2006/main" count="184" uniqueCount="172">
  <si>
    <t>Date</t>
  </si>
  <si>
    <t>Row Labels</t>
  </si>
  <si>
    <t>Grand Total</t>
  </si>
  <si>
    <t>Calendar</t>
  </si>
  <si>
    <t>Month</t>
  </si>
  <si>
    <t># of Calls</t>
  </si>
  <si>
    <t>Sales</t>
  </si>
  <si>
    <t>January</t>
  </si>
  <si>
    <t>February</t>
  </si>
  <si>
    <t>March</t>
  </si>
  <si>
    <t>April</t>
  </si>
  <si>
    <t>May</t>
  </si>
  <si>
    <t>Sum of Sales Conversion</t>
  </si>
  <si>
    <t>Jan</t>
  </si>
  <si>
    <t>Feb</t>
  </si>
  <si>
    <t>Mar</t>
  </si>
  <si>
    <t>Apr</t>
  </si>
  <si>
    <t>Sum of Sales</t>
  </si>
  <si>
    <t>02-Feb</t>
  </si>
  <si>
    <t>Sum of # of Calls</t>
  </si>
  <si>
    <t>01-Feb</t>
  </si>
  <si>
    <t>03-Feb</t>
  </si>
  <si>
    <t>04-Feb</t>
  </si>
  <si>
    <t>05-Feb</t>
  </si>
  <si>
    <t>06-Feb</t>
  </si>
  <si>
    <t>07-Feb</t>
  </si>
  <si>
    <t>08-Feb</t>
  </si>
  <si>
    <t>09-Feb</t>
  </si>
  <si>
    <t>10-Feb</t>
  </si>
  <si>
    <t>11-Feb</t>
  </si>
  <si>
    <t>12-Feb</t>
  </si>
  <si>
    <t>13-Feb</t>
  </si>
  <si>
    <t>14-Feb</t>
  </si>
  <si>
    <t>15-Feb</t>
  </si>
  <si>
    <t>16-Feb</t>
  </si>
  <si>
    <t>17-Feb</t>
  </si>
  <si>
    <t>18-Feb</t>
  </si>
  <si>
    <t>19-Feb</t>
  </si>
  <si>
    <t>20-Feb</t>
  </si>
  <si>
    <t>21-Feb</t>
  </si>
  <si>
    <t>22-Feb</t>
  </si>
  <si>
    <t>23-Feb</t>
  </si>
  <si>
    <t>24-Feb</t>
  </si>
  <si>
    <t>25-Feb</t>
  </si>
  <si>
    <t>26-Feb</t>
  </si>
  <si>
    <t>27-Feb</t>
  </si>
  <si>
    <t>28-Feb</t>
  </si>
  <si>
    <t>01-Jan</t>
  </si>
  <si>
    <t>02-Jan</t>
  </si>
  <si>
    <t>03-Jan</t>
  </si>
  <si>
    <t>04-Jan</t>
  </si>
  <si>
    <t>05-Jan</t>
  </si>
  <si>
    <t>06-Jan</t>
  </si>
  <si>
    <t>07-Jan</t>
  </si>
  <si>
    <t>08-Jan</t>
  </si>
  <si>
    <t>09-Jan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</si>
  <si>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</si>
  <si>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</si>
  <si>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</si>
  <si>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</si>
  <si>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</si>
  <si>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</si>
  <si>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</si>
  <si>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</si>
  <si>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</si>
  <si>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</si>
  <si>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</si>
  <si>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</si>
  <si>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</si>
  <si>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</si>
  <si>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</si>
  <si>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</si>
  <si>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</si>
  <si>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</si>
  <si>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</si>
  <si>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</si>
  <si>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</si>
  <si>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</si>
  <si>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01-Mar</t>
  </si>
  <si>
    <t>02-Mar</t>
  </si>
  <si>
    <t>03-Mar</t>
  </si>
  <si>
    <t>04-Mar</t>
  </si>
  <si>
    <t>05-Mar</t>
  </si>
  <si>
    <t>06-Mar</t>
  </si>
  <si>
    <t>07-Mar</t>
  </si>
  <si>
    <t>08-Mar</t>
  </si>
  <si>
    <t>09-Mar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</si>
  <si>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</si>
  <si>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</si>
  <si>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</si>
  <si>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</si>
  <si>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</si>
  <si>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</si>
  <si>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</si>
  <si>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</si>
  <si>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</si>
  <si>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</si>
  <si>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</si>
  <si>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</si>
  <si>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</si>
  <si>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</si>
  <si>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</si>
  <si>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</si>
  <si>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</si>
  <si>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</si>
  <si>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</si>
  <si>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</si>
  <si>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</si>
  <si>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</si>
  <si>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01-Apr</t>
  </si>
  <si>
    <t>02-Apr</t>
  </si>
  <si>
    <t>03-Apr</t>
  </si>
  <si>
    <t>04-Apr</t>
  </si>
  <si>
    <t>05-Apr</t>
  </si>
  <si>
    <t>06-Apr</t>
  </si>
  <si>
    <t>07-Apr</t>
  </si>
  <si>
    <t>08-Apr</t>
  </si>
  <si>
    <t>09-Apr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</si>
  <si>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</si>
  <si>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</si>
  <si>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</si>
  <si>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</si>
  <si>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</si>
  <si>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</si>
  <si>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</si>
  <si>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</si>
  <si>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</si>
  <si>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</si>
  <si>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</si>
  <si>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</si>
  <si>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</si>
  <si>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</si>
  <si>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</si>
  <si>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</si>
  <si>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</si>
  <si>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</si>
  <si>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</si>
  <si>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</si>
  <si>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</si>
  <si>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01-May</t>
  </si>
  <si>
    <t>02-May</t>
  </si>
  <si>
    <t>03-May</t>
  </si>
  <si>
    <t>04-May</t>
  </si>
  <si>
    <t>05-May</t>
  </si>
  <si>
    <t>06-May</t>
  </si>
  <si>
    <t>07-May</t>
  </si>
  <si>
    <t>08-May</t>
  </si>
  <si>
    <t>09-May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</si>
  <si>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</si>
  <si>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</si>
  <si>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</si>
  <si>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</si>
  <si>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</si>
  <si>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</si>
  <si>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</si>
  <si>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</si>
  <si>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</si>
  <si>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</si>
  <si>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</si>
  <si>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</si>
  <si>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</si>
  <si>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</si>
  <si>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</si>
  <si>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</si>
  <si>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</si>
  <si>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</si>
  <si>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</si>
  <si>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</si>
  <si>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</si>
  <si>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</si>
  <si>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 of Sales</t>
  </si>
  <si>
    <t>Average of Sales2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</si>
</sst>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mmmm\-yyyy"/>
  </numFmts>
  <fonts count="2" x14ac:knownFonts="1">
    <font>
      <sz val="11"/>
      <color theme="1"/>
      <name val="Calibri"/>
      <family val="2"/>
      <scheme val="minor"/>
    </font>
    <font>
      <sz val="22"/>
      <color theme="1"/>
      <name val="Calibri"/>
      <family val="2"/>
      <scheme val="minor"/>
    </font>
  </fonts>
  <fills count="2">
    <fill>
      <patternFill patternType="none"/>
    </fill>
    <fill>
      <patternFill patternType="gray125"/>
    </fill>
  </fills>
  <borders count="2">
    <border>
      <left/>
      <right/>
      <top/>
      <bottom/>
      <diagonal/>
    </border>
    <border>
      <left style="thin">
        <color indexed="64"/>
      </left>
      <right/>
      <top/>
      <bottom/>
      <diagonal/>
    </border>
  </borders>
  <cellStyleXfs count="1">
    <xf numFmtId="0" fontId="0" fillId="0" borderId="0"/>
  </cellStyleXfs>
  <cellXfs count="13">
    <xf numFmtId="0" fontId="0" fillId="0" borderId="0" xfId="0"/>
    <xf numFmtId="0" fontId="0" fillId="0" borderId="0" xfId="0" pivotButton="1"/>
    <xf numFmtId="1" fontId="0" fillId="0" borderId="0" xfId="0" applyNumberFormat="1"/>
    <xf numFmtId="164" fontId="0" fillId="0" borderId="0" xfId="0" applyNumberFormat="1"/>
    <xf numFmtId="0" fontId="0" fillId="0" borderId="0" xfId="0" applyAlignment="1">
      <alignment horizontal="left"/>
    </xf>
    <xf numFmtId="165" fontId="0" fillId="0" borderId="0" xfId="0" applyNumberFormat="1"/>
    <xf numFmtId="0" fontId="0" fillId="0" borderId="0" xfId="0" applyNumberFormat="1"/>
    <xf numFmtId="0" fontId="0" fillId="0" borderId="0" xfId="0" applyAlignment="1">
      <alignment horizontal="center" vertical="top"/>
    </xf>
    <xf numFmtId="165" fontId="0" fillId="0" borderId="0" xfId="0" applyNumberFormat="1" applyAlignment="1">
      <alignment horizontal="center" vertical="top"/>
    </xf>
    <xf numFmtId="16" fontId="0" fillId="0" borderId="0" xfId="0" applyNumberFormat="1" applyAlignment="1">
      <alignment horizontal="center" vertical="top"/>
    </xf>
    <xf numFmtId="16" fontId="0" fillId="0" borderId="0" xfId="0" applyNumberFormat="1" applyAlignment="1">
      <alignment horizontal="left" indent="1"/>
    </xf>
    <xf numFmtId="0" fontId="1" fillId="0" borderId="1" xfId="0" applyFont="1" applyBorder="1" applyAlignment="1">
      <alignment horizontal="center" vertical="center"/>
    </xf>
    <xf numFmtId="0" fontId="1" fillId="0" borderId="0" xfId="0" applyFont="1" applyBorder="1" applyAlignment="1">
      <alignment horizontal="center" vertical="center"/>
    </xf>
  </cellXfs>
  <cellStyles count="1">
    <cellStyle name="Normal" xfId="0" builtinId="0"/>
  </cellStyles>
  <dxfs count="16">
    <dxf>
      <numFmt numFmtId="1" formatCode="0"/>
    </dxf>
    <dxf>
      <numFmt numFmtId="168" formatCode="0.0000"/>
    </dxf>
    <dxf>
      <numFmt numFmtId="164" formatCode="0.0%"/>
    </dxf>
    <dxf>
      <numFmt numFmtId="165" formatCode="mmmm\-yyyy"/>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numFmt numFmtId="0" formatCode="General"/>
      <alignment horizontal="center" vertical="top" textRotation="0" wrapText="0" indent="0" justifyLastLine="0" shrinkToFit="0" readingOrder="0"/>
    </dxf>
    <dxf>
      <numFmt numFmtId="169" formatCode="d\-mmm"/>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font>
        <b/>
        <color theme="1"/>
      </font>
      <border>
        <bottom style="thin">
          <color theme="4"/>
        </bottom>
        <vertical/>
        <horizontal/>
      </border>
    </dxf>
    <dxf>
      <font>
        <b val="0"/>
        <i val="0"/>
        <sz val="10"/>
        <color theme="1"/>
        <name val="Avenir Next LT Pro"/>
        <family val="2"/>
        <scheme val="none"/>
      </font>
      <border diagonalUp="1">
        <left style="medium">
          <color theme="0" tint="-0.14996795556505021"/>
        </left>
        <right style="medium">
          <color theme="0" tint="-0.14996795556505021"/>
        </right>
        <top style="medium">
          <color theme="0" tint="-0.14996795556505021"/>
        </top>
        <bottom style="medium">
          <color theme="0" tint="-0.14996795556505021"/>
        </bottom>
        <diagonal style="thin">
          <color rgb="FFEAEAEA"/>
        </diagonal>
        <vertical/>
        <horizontal/>
      </border>
    </dxf>
    <dxf>
      <font>
        <b/>
        <color theme="1"/>
      </font>
      <border>
        <bottom style="thin">
          <color theme="4"/>
        </bottom>
        <vertical/>
        <horizontal/>
      </border>
    </dxf>
    <dxf>
      <font>
        <b val="0"/>
        <i val="0"/>
        <sz val="10"/>
        <color theme="1"/>
        <name val="Avenir Next LT Pro"/>
        <family val="2"/>
        <scheme val="none"/>
      </font>
      <border diagonalUp="1">
        <left style="thin">
          <color theme="0" tint="-0.14993743705557422"/>
        </left>
        <right style="thin">
          <color theme="0" tint="-0.14993743705557422"/>
        </right>
        <top style="thin">
          <color theme="0" tint="-0.14993743705557422"/>
        </top>
        <bottom style="thin">
          <color theme="0" tint="-0.14993743705557422"/>
        </bottom>
        <diagonal style="thin">
          <color rgb="FFEAEAEA"/>
        </diagonal>
        <vertical/>
        <horizontal/>
      </border>
    </dxf>
    <dxf>
      <font>
        <b/>
        <i val="0"/>
        <color theme="0"/>
      </font>
      <fill>
        <patternFill>
          <bgColor rgb="FF00B0F0"/>
        </patternFill>
      </fill>
    </dxf>
    <dxf>
      <font>
        <b/>
        <i val="0"/>
        <color theme="0"/>
      </font>
      <fill>
        <patternFill>
          <bgColor rgb="FF0070C0"/>
        </patternFill>
      </fill>
      <border diagonalUp="0" diagonalDown="0">
        <left/>
        <right/>
        <top/>
        <bottom/>
        <vertical/>
        <horizontal/>
      </border>
    </dxf>
  </dxfs>
  <tableStyles count="3" defaultTableStyle="TableStyleMedium2" defaultPivotStyle="PivotStyleLight16">
    <tableStyle name="PivotTable Style 1" table="0" count="2" xr9:uid="{C061B03A-3BC0-449B-8262-5CE88477DC78}">
      <tableStyleElement type="pageFieldLabels" dxfId="15"/>
      <tableStyleElement type="pageFieldValues" dxfId="14"/>
    </tableStyle>
    <tableStyle name="SlicerStyleLight1 2" pivot="0" table="0" count="10" xr9:uid="{3B5C1E18-744F-41A9-A2D2-7B4625147FD8}">
      <tableStyleElement type="wholeTable" dxfId="13"/>
      <tableStyleElement type="headerRow" dxfId="12"/>
    </tableStyle>
    <tableStyle name="SlicerStyleLight1 2 2" pivot="0" table="0" count="10" xr9:uid="{364C2D5D-E158-4699-8EE8-4B2723281DBA}">
      <tableStyleElement type="wholeTable" dxfId="11"/>
      <tableStyleElement type="headerRow" dxfId="10"/>
    </tableStyle>
  </tableStyles>
  <colors>
    <mruColors>
      <color rgb="FFEAEAEA"/>
      <color rgb="FFFFB7B7"/>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[Daily-Sales-Dashboard-in-Excel .xlsx]Pivot tables!PivotTable1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doughnutChart>
        <c:varyColors val="1"/>
        <c:ser>
          <c:idx val="0"/>
          <c:order val="0"/>
          <c:tx>
            <c:strRef>
              <c:f>'Pivot tables'!$C$4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143-452E-87E3-AEF1CBAE8F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143-452E-87E3-AEF1CBAE8F1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143-452E-87E3-AEF1CBAE8F1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143-452E-87E3-AEF1CBAE8F1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143-452E-87E3-AEF1CBAE8F1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tables'!$B$5:$B$10</c:f>
              <c:strCache>
                <c:ptCount val="5"/>
                <c:pt idx="0">
                  <c:v>Jan</c:v>
                </c:pt>
                <c:pt idx="1">
                  <c:v>Feb</c:v>
                </c:pt>
                <c:pt idx="2">
                  <c:v>Mar</c:v>
                </c:pt>
                <c:pt idx="3">
                  <c:v>Apr</c:v>
                </c:pt>
                <c:pt idx="4">
                  <c:v>May</c:v>
                </c:pt>
              </c:strCache>
            </c:strRef>
          </c:cat>
          <c:val>
            <c:numRef>
              <c:f>'Pivot tables'!$C$5:$C$10</c:f>
              <c:numCache>
                <c:formatCode>General</c:formatCode>
                <c:ptCount val="5"/>
                <c:pt idx="0">
                  <c:v>0.42855269484635222</c:v>
                </c:pt>
                <c:pt idx="1">
                  <c:v>0.40381086803105154</c:v>
                </c:pt>
                <c:pt idx="2">
                  <c:v>0.37158724775309482</c:v>
                </c:pt>
                <c:pt idx="3">
                  <c:v>0.39258149459729413</c:v>
                </c:pt>
                <c:pt idx="4">
                  <c:v>0.39204301075268816</c:v>
                </c:pt>
              </c:numCache>
            </c:numRef>
          </c:val>
          <c:extLst>
            <c:ext xmlns:c16="http://schemas.microsoft.com/office/drawing/2014/chart" uri="{C3380CC4-5D6E-409C-BE32-E72D297353CC}">
              <c16:uniqueId val="{0000000B-008B-442C-87F4-7DDFD316D9A0}"/>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[Daily-Sales-Dashboard-in-Excel .xlsx]Pivot tables!PivotTable3</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19050" cap="rnd">
            <a:solidFill>
              <a:schemeClr val="accent1"/>
            </a:solidFill>
            <a:round/>
          </a:ln>
          <a:effectLst/>
        </c:spPr>
        <c:marker>
          <c:symbol val="circle"/>
          <c:size val="5"/>
          <c:spPr>
            <a:solidFill>
              <a:schemeClr val="accent2"/>
            </a:solidFill>
            <a:ln w="317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tables'!$J$22</c:f>
              <c:strCache>
                <c:ptCount val="1"/>
                <c:pt idx="0">
                  <c:v># of Sales</c:v>
                </c:pt>
              </c:strCache>
            </c:strRef>
          </c:tx>
          <c:spPr>
            <a:solidFill>
              <a:schemeClr val="accent1"/>
            </a:solidFill>
            <a:ln>
              <a:noFill/>
            </a:ln>
            <a:effectLst/>
          </c:spPr>
          <c:invertIfNegative val="0"/>
          <c:cat>
            <c:multiLvlStrRef>
              <c:f>'Pivot tables'!$I$23:$I$179</c:f>
              <c:multiLvlStrCache>
                <c:ptCount val="151"/>
                <c:lvl>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01-Mar</c:v>
                  </c:pt>
                  <c:pt idx="60">
                    <c:v>02-Mar</c:v>
                  </c:pt>
                  <c:pt idx="61">
                    <c:v>03-Mar</c:v>
                  </c:pt>
                  <c:pt idx="62">
                    <c:v>04-Mar</c:v>
                  </c:pt>
                  <c:pt idx="63">
                    <c:v>05-Mar</c:v>
                  </c:pt>
                  <c:pt idx="64">
                    <c:v>06-Mar</c:v>
                  </c:pt>
                  <c:pt idx="65">
                    <c:v>07-Mar</c:v>
                  </c:pt>
                  <c:pt idx="66">
                    <c:v>08-Mar</c:v>
                  </c:pt>
                  <c:pt idx="67">
                    <c:v>09-Mar</c:v>
                  </c:pt>
                  <c:pt idx="68">
                    <c:v>10-Mar</c:v>
                  </c:pt>
                  <c:pt idx="69">
                    <c:v>11-Mar</c:v>
                  </c:pt>
                  <c:pt idx="70">
                    <c:v>12-Mar</c:v>
                  </c:pt>
                  <c:pt idx="71">
                    <c:v>13-Mar</c:v>
                  </c:pt>
                  <c:pt idx="72">
                    <c:v>14-Mar</c:v>
                  </c:pt>
                  <c:pt idx="73">
                    <c:v>15-Mar</c:v>
                  </c:pt>
                  <c:pt idx="74">
                    <c:v>16-Mar</c:v>
                  </c:pt>
                  <c:pt idx="75">
                    <c:v>17-Mar</c:v>
                  </c:pt>
                  <c:pt idx="76">
                    <c:v>18-Mar</c:v>
                  </c:pt>
                  <c:pt idx="77">
                    <c:v>19-Mar</c:v>
                  </c:pt>
                  <c:pt idx="78">
                    <c:v>20-Mar</c:v>
                  </c:pt>
                  <c:pt idx="79">
                    <c:v>21-Mar</c:v>
                  </c:pt>
                  <c:pt idx="80">
                    <c:v>22-Mar</c:v>
                  </c:pt>
                  <c:pt idx="81">
                    <c:v>23-Mar</c:v>
                  </c:pt>
                  <c:pt idx="82">
                    <c:v>24-Mar</c:v>
                  </c:pt>
                  <c:pt idx="83">
                    <c:v>25-Mar</c:v>
                  </c:pt>
                  <c:pt idx="84">
                    <c:v>26-Mar</c:v>
                  </c:pt>
                  <c:pt idx="85">
                    <c:v>27-Mar</c:v>
                  </c:pt>
                  <c:pt idx="86">
                    <c:v>28-Mar</c:v>
                  </c:pt>
                  <c:pt idx="87">
                    <c:v>29-Mar</c:v>
                  </c:pt>
                  <c:pt idx="88">
                    <c:v>30-Mar</c:v>
                  </c:pt>
                  <c:pt idx="89">
                    <c:v>31-Mar</c:v>
                  </c:pt>
                  <c:pt idx="90">
                    <c:v>01-Apr</c:v>
                  </c:pt>
                  <c:pt idx="91">
                    <c:v>02-Apr</c:v>
                  </c:pt>
                  <c:pt idx="92">
                    <c:v>03-Apr</c:v>
                  </c:pt>
                  <c:pt idx="93">
                    <c:v>04-Apr</c:v>
                  </c:pt>
                  <c:pt idx="94">
                    <c:v>05-Apr</c:v>
                  </c:pt>
                  <c:pt idx="95">
                    <c:v>06-Apr</c:v>
                  </c:pt>
                  <c:pt idx="96">
                    <c:v>07-Apr</c:v>
                  </c:pt>
                  <c:pt idx="97">
                    <c:v>08-Apr</c:v>
                  </c:pt>
                  <c:pt idx="98">
                    <c:v>09-Apr</c:v>
                  </c:pt>
                  <c:pt idx="99">
                    <c:v>10-Apr</c:v>
                  </c:pt>
                  <c:pt idx="100">
                    <c:v>11-Apr</c:v>
                  </c:pt>
                  <c:pt idx="101">
                    <c:v>12-Apr</c:v>
                  </c:pt>
                  <c:pt idx="102">
                    <c:v>13-Apr</c:v>
                  </c:pt>
                  <c:pt idx="103">
                    <c:v>14-Apr</c:v>
                  </c:pt>
                  <c:pt idx="104">
                    <c:v>15-Apr</c:v>
                  </c:pt>
                  <c:pt idx="105">
                    <c:v>16-Apr</c:v>
                  </c:pt>
                  <c:pt idx="106">
                    <c:v>17-Apr</c:v>
                  </c:pt>
                  <c:pt idx="107">
                    <c:v>18-Apr</c:v>
                  </c:pt>
                  <c:pt idx="108">
                    <c:v>19-Apr</c:v>
                  </c:pt>
                  <c:pt idx="109">
                    <c:v>20-Apr</c:v>
                  </c:pt>
                  <c:pt idx="110">
                    <c:v>21-Apr</c:v>
                  </c:pt>
                  <c:pt idx="111">
                    <c:v>22-Apr</c:v>
                  </c:pt>
                  <c:pt idx="112">
                    <c:v>23-Apr</c:v>
                  </c:pt>
                  <c:pt idx="113">
                    <c:v>24-Apr</c:v>
                  </c:pt>
                  <c:pt idx="114">
                    <c:v>25-Apr</c:v>
                  </c:pt>
                  <c:pt idx="115">
                    <c:v>26-Apr</c:v>
                  </c:pt>
                  <c:pt idx="116">
                    <c:v>27-Apr</c:v>
                  </c:pt>
                  <c:pt idx="117">
                    <c:v>28-Apr</c:v>
                  </c:pt>
                  <c:pt idx="118">
                    <c:v>29-Apr</c:v>
                  </c:pt>
                  <c:pt idx="119">
                    <c:v>30-Apr</c:v>
                  </c:pt>
                  <c:pt idx="120">
                    <c:v>01-May</c:v>
                  </c:pt>
                  <c:pt idx="121">
                    <c:v>02-May</c:v>
                  </c:pt>
                  <c:pt idx="122">
                    <c:v>03-May</c:v>
                  </c:pt>
                  <c:pt idx="123">
                    <c:v>04-May</c:v>
                  </c:pt>
                  <c:pt idx="124">
                    <c:v>05-May</c:v>
                  </c:pt>
                  <c:pt idx="125">
                    <c:v>06-May</c:v>
                  </c:pt>
                  <c:pt idx="126">
                    <c:v>07-May</c:v>
                  </c:pt>
                  <c:pt idx="127">
                    <c:v>08-May</c:v>
                  </c:pt>
                  <c:pt idx="128">
                    <c:v>09-May</c:v>
                  </c:pt>
                  <c:pt idx="129">
                    <c:v>10-May</c:v>
                  </c:pt>
                  <c:pt idx="130">
                    <c:v>11-May</c:v>
                  </c:pt>
                  <c:pt idx="131">
                    <c:v>12-May</c:v>
                  </c:pt>
                  <c:pt idx="132">
                    <c:v>13-May</c:v>
                  </c:pt>
                  <c:pt idx="133">
                    <c:v>14-May</c:v>
                  </c:pt>
                  <c:pt idx="134">
                    <c:v>15-May</c:v>
                  </c:pt>
                  <c:pt idx="135">
                    <c:v>16-May</c:v>
                  </c:pt>
                  <c:pt idx="136">
                    <c:v>17-May</c:v>
                  </c:pt>
                  <c:pt idx="137">
                    <c:v>18-May</c:v>
                  </c:pt>
                  <c:pt idx="138">
                    <c:v>19-May</c:v>
                  </c:pt>
                  <c:pt idx="139">
                    <c:v>20-May</c:v>
                  </c:pt>
                  <c:pt idx="140">
                    <c:v>21-May</c:v>
                  </c:pt>
                  <c:pt idx="141">
                    <c:v>22-May</c:v>
                  </c:pt>
                  <c:pt idx="142">
                    <c:v>23-May</c:v>
                  </c:pt>
                  <c:pt idx="143">
                    <c:v>24-May</c:v>
                  </c:pt>
                  <c:pt idx="144">
                    <c:v>25-May</c:v>
                  </c:pt>
                  <c:pt idx="145">
                    <c:v>26-May</c:v>
                  </c:pt>
                  <c:pt idx="146">
                    <c:v>27-May</c:v>
                  </c:pt>
                  <c:pt idx="147">
                    <c:v>28-May</c:v>
                  </c:pt>
                  <c:pt idx="148">
                    <c:v>29-May</c:v>
                  </c:pt>
                  <c:pt idx="149">
                    <c:v>30-May</c:v>
                  </c:pt>
                  <c:pt idx="150">
                    <c:v>31-May</c:v>
                  </c:pt>
                </c:lvl>
                <c:lvl>
                  <c:pt idx="0">
                    <c:v>Jan</c:v>
                  </c:pt>
                  <c:pt idx="31">
                    <c:v>Feb</c:v>
                  </c:pt>
                  <c:pt idx="59">
                    <c:v>Mar</c:v>
                  </c:pt>
                  <c:pt idx="90">
                    <c:v>Apr</c:v>
                  </c:pt>
                  <c:pt idx="120">
                    <c:v>May</c:v>
                  </c:pt>
                </c:lvl>
              </c:multiLvlStrCache>
            </c:multiLvlStrRef>
          </c:cat>
          <c:val>
            <c:numRef>
              <c:f>'Pivot tables'!$J$23:$J$179</c:f>
              <c:numCache>
                <c:formatCode>General</c:formatCode>
                <c:ptCount val="151"/>
                <c:pt idx="0">
                  <c:v>279</c:v>
                </c:pt>
                <c:pt idx="1">
                  <c:v>179</c:v>
                </c:pt>
                <c:pt idx="2">
                  <c:v>287</c:v>
                </c:pt>
                <c:pt idx="3">
                  <c:v>406</c:v>
                </c:pt>
                <c:pt idx="4">
                  <c:v>317</c:v>
                </c:pt>
                <c:pt idx="5">
                  <c:v>181</c:v>
                </c:pt>
                <c:pt idx="6">
                  <c:v>491</c:v>
                </c:pt>
                <c:pt idx="7">
                  <c:v>300</c:v>
                </c:pt>
                <c:pt idx="8">
                  <c:v>420</c:v>
                </c:pt>
                <c:pt idx="9">
                  <c:v>461</c:v>
                </c:pt>
                <c:pt idx="10">
                  <c:v>337</c:v>
                </c:pt>
                <c:pt idx="11">
                  <c:v>206</c:v>
                </c:pt>
                <c:pt idx="12">
                  <c:v>192</c:v>
                </c:pt>
                <c:pt idx="13">
                  <c:v>225</c:v>
                </c:pt>
                <c:pt idx="14">
                  <c:v>486</c:v>
                </c:pt>
                <c:pt idx="15">
                  <c:v>368</c:v>
                </c:pt>
                <c:pt idx="16">
                  <c:v>138</c:v>
                </c:pt>
                <c:pt idx="17">
                  <c:v>343</c:v>
                </c:pt>
                <c:pt idx="18">
                  <c:v>382</c:v>
                </c:pt>
                <c:pt idx="19">
                  <c:v>275</c:v>
                </c:pt>
                <c:pt idx="20">
                  <c:v>448</c:v>
                </c:pt>
                <c:pt idx="21">
                  <c:v>169</c:v>
                </c:pt>
                <c:pt idx="22">
                  <c:v>348</c:v>
                </c:pt>
                <c:pt idx="23">
                  <c:v>405</c:v>
                </c:pt>
                <c:pt idx="24">
                  <c:v>139</c:v>
                </c:pt>
                <c:pt idx="25">
                  <c:v>474</c:v>
                </c:pt>
                <c:pt idx="26">
                  <c:v>180</c:v>
                </c:pt>
                <c:pt idx="27">
                  <c:v>280</c:v>
                </c:pt>
                <c:pt idx="28">
                  <c:v>444</c:v>
                </c:pt>
                <c:pt idx="29">
                  <c:v>168</c:v>
                </c:pt>
                <c:pt idx="30">
                  <c:v>476</c:v>
                </c:pt>
                <c:pt idx="31">
                  <c:v>446</c:v>
                </c:pt>
                <c:pt idx="32">
                  <c:v>437</c:v>
                </c:pt>
                <c:pt idx="33">
                  <c:v>251</c:v>
                </c:pt>
                <c:pt idx="34">
                  <c:v>176</c:v>
                </c:pt>
                <c:pt idx="35">
                  <c:v>299</c:v>
                </c:pt>
                <c:pt idx="36">
                  <c:v>108</c:v>
                </c:pt>
                <c:pt idx="37">
                  <c:v>222</c:v>
                </c:pt>
                <c:pt idx="38">
                  <c:v>183</c:v>
                </c:pt>
                <c:pt idx="39">
                  <c:v>447</c:v>
                </c:pt>
                <c:pt idx="40">
                  <c:v>407</c:v>
                </c:pt>
                <c:pt idx="41">
                  <c:v>452</c:v>
                </c:pt>
                <c:pt idx="42">
                  <c:v>205</c:v>
                </c:pt>
                <c:pt idx="43">
                  <c:v>345</c:v>
                </c:pt>
                <c:pt idx="44">
                  <c:v>495</c:v>
                </c:pt>
                <c:pt idx="45">
                  <c:v>283</c:v>
                </c:pt>
                <c:pt idx="46">
                  <c:v>115</c:v>
                </c:pt>
                <c:pt idx="47">
                  <c:v>105</c:v>
                </c:pt>
                <c:pt idx="48">
                  <c:v>180</c:v>
                </c:pt>
                <c:pt idx="49">
                  <c:v>490</c:v>
                </c:pt>
                <c:pt idx="50">
                  <c:v>366</c:v>
                </c:pt>
                <c:pt idx="51">
                  <c:v>348</c:v>
                </c:pt>
                <c:pt idx="52">
                  <c:v>123</c:v>
                </c:pt>
                <c:pt idx="53">
                  <c:v>435</c:v>
                </c:pt>
                <c:pt idx="54">
                  <c:v>378</c:v>
                </c:pt>
                <c:pt idx="55">
                  <c:v>312</c:v>
                </c:pt>
                <c:pt idx="56">
                  <c:v>341</c:v>
                </c:pt>
                <c:pt idx="57">
                  <c:v>309</c:v>
                </c:pt>
                <c:pt idx="58">
                  <c:v>325</c:v>
                </c:pt>
                <c:pt idx="59">
                  <c:v>193</c:v>
                </c:pt>
                <c:pt idx="60">
                  <c:v>114</c:v>
                </c:pt>
                <c:pt idx="61">
                  <c:v>256</c:v>
                </c:pt>
                <c:pt idx="62">
                  <c:v>407</c:v>
                </c:pt>
                <c:pt idx="63">
                  <c:v>146</c:v>
                </c:pt>
                <c:pt idx="64">
                  <c:v>315</c:v>
                </c:pt>
                <c:pt idx="65">
                  <c:v>499</c:v>
                </c:pt>
                <c:pt idx="66">
                  <c:v>161</c:v>
                </c:pt>
                <c:pt idx="67">
                  <c:v>376</c:v>
                </c:pt>
                <c:pt idx="68">
                  <c:v>266</c:v>
                </c:pt>
                <c:pt idx="69">
                  <c:v>373</c:v>
                </c:pt>
                <c:pt idx="70">
                  <c:v>443</c:v>
                </c:pt>
                <c:pt idx="71">
                  <c:v>286</c:v>
                </c:pt>
                <c:pt idx="72">
                  <c:v>326</c:v>
                </c:pt>
                <c:pt idx="73">
                  <c:v>222</c:v>
                </c:pt>
                <c:pt idx="74">
                  <c:v>429</c:v>
                </c:pt>
                <c:pt idx="75">
                  <c:v>284</c:v>
                </c:pt>
                <c:pt idx="76">
                  <c:v>246</c:v>
                </c:pt>
                <c:pt idx="77">
                  <c:v>352</c:v>
                </c:pt>
                <c:pt idx="78">
                  <c:v>154</c:v>
                </c:pt>
                <c:pt idx="79">
                  <c:v>221</c:v>
                </c:pt>
                <c:pt idx="80">
                  <c:v>410</c:v>
                </c:pt>
                <c:pt idx="81">
                  <c:v>306</c:v>
                </c:pt>
                <c:pt idx="82">
                  <c:v>120</c:v>
                </c:pt>
                <c:pt idx="83">
                  <c:v>225</c:v>
                </c:pt>
                <c:pt idx="84">
                  <c:v>185</c:v>
                </c:pt>
                <c:pt idx="85">
                  <c:v>407</c:v>
                </c:pt>
                <c:pt idx="86">
                  <c:v>186</c:v>
                </c:pt>
                <c:pt idx="87">
                  <c:v>483</c:v>
                </c:pt>
                <c:pt idx="88">
                  <c:v>167</c:v>
                </c:pt>
                <c:pt idx="89">
                  <c:v>207</c:v>
                </c:pt>
                <c:pt idx="90">
                  <c:v>456</c:v>
                </c:pt>
                <c:pt idx="91">
                  <c:v>239</c:v>
                </c:pt>
                <c:pt idx="92">
                  <c:v>352</c:v>
                </c:pt>
                <c:pt idx="93">
                  <c:v>240</c:v>
                </c:pt>
                <c:pt idx="94">
                  <c:v>432</c:v>
                </c:pt>
                <c:pt idx="95">
                  <c:v>205</c:v>
                </c:pt>
                <c:pt idx="96">
                  <c:v>117</c:v>
                </c:pt>
                <c:pt idx="97">
                  <c:v>221</c:v>
                </c:pt>
                <c:pt idx="98">
                  <c:v>175</c:v>
                </c:pt>
                <c:pt idx="99">
                  <c:v>288</c:v>
                </c:pt>
                <c:pt idx="100">
                  <c:v>452</c:v>
                </c:pt>
                <c:pt idx="101">
                  <c:v>491</c:v>
                </c:pt>
                <c:pt idx="102">
                  <c:v>260</c:v>
                </c:pt>
                <c:pt idx="103">
                  <c:v>358</c:v>
                </c:pt>
                <c:pt idx="104">
                  <c:v>460</c:v>
                </c:pt>
                <c:pt idx="105">
                  <c:v>273</c:v>
                </c:pt>
                <c:pt idx="106">
                  <c:v>280</c:v>
                </c:pt>
                <c:pt idx="107">
                  <c:v>491</c:v>
                </c:pt>
                <c:pt idx="108">
                  <c:v>249</c:v>
                </c:pt>
                <c:pt idx="109">
                  <c:v>158</c:v>
                </c:pt>
                <c:pt idx="110">
                  <c:v>201</c:v>
                </c:pt>
                <c:pt idx="111">
                  <c:v>265</c:v>
                </c:pt>
                <c:pt idx="112">
                  <c:v>411</c:v>
                </c:pt>
                <c:pt idx="113">
                  <c:v>105</c:v>
                </c:pt>
                <c:pt idx="114">
                  <c:v>174</c:v>
                </c:pt>
                <c:pt idx="115">
                  <c:v>346</c:v>
                </c:pt>
                <c:pt idx="116">
                  <c:v>233</c:v>
                </c:pt>
                <c:pt idx="117">
                  <c:v>182</c:v>
                </c:pt>
                <c:pt idx="118">
                  <c:v>123</c:v>
                </c:pt>
                <c:pt idx="119">
                  <c:v>410</c:v>
                </c:pt>
                <c:pt idx="120">
                  <c:v>309</c:v>
                </c:pt>
                <c:pt idx="121">
                  <c:v>430</c:v>
                </c:pt>
                <c:pt idx="122">
                  <c:v>288</c:v>
                </c:pt>
                <c:pt idx="123">
                  <c:v>207</c:v>
                </c:pt>
                <c:pt idx="124">
                  <c:v>313</c:v>
                </c:pt>
                <c:pt idx="125">
                  <c:v>238</c:v>
                </c:pt>
                <c:pt idx="126">
                  <c:v>419</c:v>
                </c:pt>
                <c:pt idx="127">
                  <c:v>256</c:v>
                </c:pt>
                <c:pt idx="128">
                  <c:v>355</c:v>
                </c:pt>
                <c:pt idx="129">
                  <c:v>206</c:v>
                </c:pt>
                <c:pt idx="130">
                  <c:v>170</c:v>
                </c:pt>
                <c:pt idx="131">
                  <c:v>126</c:v>
                </c:pt>
                <c:pt idx="132">
                  <c:v>426</c:v>
                </c:pt>
                <c:pt idx="133">
                  <c:v>326</c:v>
                </c:pt>
                <c:pt idx="134">
                  <c:v>341</c:v>
                </c:pt>
                <c:pt idx="135">
                  <c:v>439</c:v>
                </c:pt>
                <c:pt idx="136">
                  <c:v>275</c:v>
                </c:pt>
                <c:pt idx="137">
                  <c:v>329</c:v>
                </c:pt>
                <c:pt idx="138">
                  <c:v>133</c:v>
                </c:pt>
                <c:pt idx="139">
                  <c:v>491</c:v>
                </c:pt>
                <c:pt idx="140">
                  <c:v>151</c:v>
                </c:pt>
                <c:pt idx="141">
                  <c:v>101</c:v>
                </c:pt>
                <c:pt idx="142">
                  <c:v>416</c:v>
                </c:pt>
                <c:pt idx="143">
                  <c:v>339</c:v>
                </c:pt>
                <c:pt idx="144">
                  <c:v>233</c:v>
                </c:pt>
                <c:pt idx="145">
                  <c:v>113</c:v>
                </c:pt>
                <c:pt idx="146">
                  <c:v>110</c:v>
                </c:pt>
                <c:pt idx="147">
                  <c:v>272</c:v>
                </c:pt>
                <c:pt idx="148">
                  <c:v>489</c:v>
                </c:pt>
                <c:pt idx="149">
                  <c:v>370</c:v>
                </c:pt>
                <c:pt idx="150">
                  <c:v>444</c:v>
                </c:pt>
              </c:numCache>
            </c:numRef>
          </c:val>
          <c:extLst>
            <c:ext xmlns:c16="http://schemas.microsoft.com/office/drawing/2014/chart" uri="{C3380CC4-5D6E-409C-BE32-E72D297353CC}">
              <c16:uniqueId val="{00000000-C225-4403-B1BC-541C98454360}"/>
            </c:ext>
          </c:extLst>
        </c:ser>
        <c:dLbls>
          <c:showLegendKey val="0"/>
          <c:showVal val="0"/>
          <c:showCatName val="0"/>
          <c:showSerName val="0"/>
          <c:showPercent val="0"/>
          <c:showBubbleSize val="0"/>
        </c:dLbls>
        <c:gapWidth val="75"/>
        <c:axId val="1031310672"/>
        <c:axId val="1031307760"/>
      </c:barChart>
      <c:lineChart>
        <c:grouping val="standard"/>
        <c:varyColors val="0"/>
        <c:ser>
          <c:idx val="1"/>
          <c:order val="1"/>
          <c:tx>
            <c:strRef>
              <c:f>'Pivot tables'!$K$22</c:f>
              <c:strCache>
                <c:ptCount val="1"/>
                <c:pt idx="0">
                  <c:v>Sum of # of Calls</c:v>
                </c:pt>
              </c:strCache>
            </c:strRef>
          </c:tx>
          <c:spPr>
            <a:ln w="19050" cap="rnd">
              <a:solidFill>
                <a:schemeClr val="accent2"/>
              </a:solidFill>
              <a:round/>
            </a:ln>
            <a:effectLst/>
          </c:spPr>
          <c:marker>
            <c:symbol val="circle"/>
            <c:size val="5"/>
            <c:spPr>
              <a:solidFill>
                <a:schemeClr val="accent2"/>
              </a:solidFill>
              <a:ln w="3175">
                <a:solidFill>
                  <a:schemeClr val="accent2"/>
                </a:solidFill>
              </a:ln>
              <a:effectLst/>
            </c:spPr>
          </c:marker>
          <c:cat>
            <c:multiLvlStrRef>
              <c:f>'Pivot tables'!$I$23:$I$179</c:f>
              <c:multiLvlStrCache>
                <c:ptCount val="151"/>
                <c:lvl>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01-Mar</c:v>
                  </c:pt>
                  <c:pt idx="60">
                    <c:v>02-Mar</c:v>
                  </c:pt>
                  <c:pt idx="61">
                    <c:v>03-Mar</c:v>
                  </c:pt>
                  <c:pt idx="62">
                    <c:v>04-Mar</c:v>
                  </c:pt>
                  <c:pt idx="63">
                    <c:v>05-Mar</c:v>
                  </c:pt>
                  <c:pt idx="64">
                    <c:v>06-Mar</c:v>
                  </c:pt>
                  <c:pt idx="65">
                    <c:v>07-Mar</c:v>
                  </c:pt>
                  <c:pt idx="66">
                    <c:v>08-Mar</c:v>
                  </c:pt>
                  <c:pt idx="67">
                    <c:v>09-Mar</c:v>
                  </c:pt>
                  <c:pt idx="68">
                    <c:v>10-Mar</c:v>
                  </c:pt>
                  <c:pt idx="69">
                    <c:v>11-Mar</c:v>
                  </c:pt>
                  <c:pt idx="70">
                    <c:v>12-Mar</c:v>
                  </c:pt>
                  <c:pt idx="71">
                    <c:v>13-Mar</c:v>
                  </c:pt>
                  <c:pt idx="72">
                    <c:v>14-Mar</c:v>
                  </c:pt>
                  <c:pt idx="73">
                    <c:v>15-Mar</c:v>
                  </c:pt>
                  <c:pt idx="74">
                    <c:v>16-Mar</c:v>
                  </c:pt>
                  <c:pt idx="75">
                    <c:v>17-Mar</c:v>
                  </c:pt>
                  <c:pt idx="76">
                    <c:v>18-Mar</c:v>
                  </c:pt>
                  <c:pt idx="77">
                    <c:v>19-Mar</c:v>
                  </c:pt>
                  <c:pt idx="78">
                    <c:v>20-Mar</c:v>
                  </c:pt>
                  <c:pt idx="79">
                    <c:v>21-Mar</c:v>
                  </c:pt>
                  <c:pt idx="80">
                    <c:v>22-Mar</c:v>
                  </c:pt>
                  <c:pt idx="81">
                    <c:v>23-Mar</c:v>
                  </c:pt>
                  <c:pt idx="82">
                    <c:v>24-Mar</c:v>
                  </c:pt>
                  <c:pt idx="83">
                    <c:v>25-Mar</c:v>
                  </c:pt>
                  <c:pt idx="84">
                    <c:v>26-Mar</c:v>
                  </c:pt>
                  <c:pt idx="85">
                    <c:v>27-Mar</c:v>
                  </c:pt>
                  <c:pt idx="86">
                    <c:v>28-Mar</c:v>
                  </c:pt>
                  <c:pt idx="87">
                    <c:v>29-Mar</c:v>
                  </c:pt>
                  <c:pt idx="88">
                    <c:v>30-Mar</c:v>
                  </c:pt>
                  <c:pt idx="89">
                    <c:v>31-Mar</c:v>
                  </c:pt>
                  <c:pt idx="90">
                    <c:v>01-Apr</c:v>
                  </c:pt>
                  <c:pt idx="91">
                    <c:v>02-Apr</c:v>
                  </c:pt>
                  <c:pt idx="92">
                    <c:v>03-Apr</c:v>
                  </c:pt>
                  <c:pt idx="93">
                    <c:v>04-Apr</c:v>
                  </c:pt>
                  <c:pt idx="94">
                    <c:v>05-Apr</c:v>
                  </c:pt>
                  <c:pt idx="95">
                    <c:v>06-Apr</c:v>
                  </c:pt>
                  <c:pt idx="96">
                    <c:v>07-Apr</c:v>
                  </c:pt>
                  <c:pt idx="97">
                    <c:v>08-Apr</c:v>
                  </c:pt>
                  <c:pt idx="98">
                    <c:v>09-Apr</c:v>
                  </c:pt>
                  <c:pt idx="99">
                    <c:v>10-Apr</c:v>
                  </c:pt>
                  <c:pt idx="100">
                    <c:v>11-Apr</c:v>
                  </c:pt>
                  <c:pt idx="101">
                    <c:v>12-Apr</c:v>
                  </c:pt>
                  <c:pt idx="102">
                    <c:v>13-Apr</c:v>
                  </c:pt>
                  <c:pt idx="103">
                    <c:v>14-Apr</c:v>
                  </c:pt>
                  <c:pt idx="104">
                    <c:v>15-Apr</c:v>
                  </c:pt>
                  <c:pt idx="105">
                    <c:v>16-Apr</c:v>
                  </c:pt>
                  <c:pt idx="106">
                    <c:v>17-Apr</c:v>
                  </c:pt>
                  <c:pt idx="107">
                    <c:v>18-Apr</c:v>
                  </c:pt>
                  <c:pt idx="108">
                    <c:v>19-Apr</c:v>
                  </c:pt>
                  <c:pt idx="109">
                    <c:v>20-Apr</c:v>
                  </c:pt>
                  <c:pt idx="110">
                    <c:v>21-Apr</c:v>
                  </c:pt>
                  <c:pt idx="111">
                    <c:v>22-Apr</c:v>
                  </c:pt>
                  <c:pt idx="112">
                    <c:v>23-Apr</c:v>
                  </c:pt>
                  <c:pt idx="113">
                    <c:v>24-Apr</c:v>
                  </c:pt>
                  <c:pt idx="114">
                    <c:v>25-Apr</c:v>
                  </c:pt>
                  <c:pt idx="115">
                    <c:v>26-Apr</c:v>
                  </c:pt>
                  <c:pt idx="116">
                    <c:v>27-Apr</c:v>
                  </c:pt>
                  <c:pt idx="117">
                    <c:v>28-Apr</c:v>
                  </c:pt>
                  <c:pt idx="118">
                    <c:v>29-Apr</c:v>
                  </c:pt>
                  <c:pt idx="119">
                    <c:v>30-Apr</c:v>
                  </c:pt>
                  <c:pt idx="120">
                    <c:v>01-May</c:v>
                  </c:pt>
                  <c:pt idx="121">
                    <c:v>02-May</c:v>
                  </c:pt>
                  <c:pt idx="122">
                    <c:v>03-May</c:v>
                  </c:pt>
                  <c:pt idx="123">
                    <c:v>04-May</c:v>
                  </c:pt>
                  <c:pt idx="124">
                    <c:v>05-May</c:v>
                  </c:pt>
                  <c:pt idx="125">
                    <c:v>06-May</c:v>
                  </c:pt>
                  <c:pt idx="126">
                    <c:v>07-May</c:v>
                  </c:pt>
                  <c:pt idx="127">
                    <c:v>08-May</c:v>
                  </c:pt>
                  <c:pt idx="128">
                    <c:v>09-May</c:v>
                  </c:pt>
                  <c:pt idx="129">
                    <c:v>10-May</c:v>
                  </c:pt>
                  <c:pt idx="130">
                    <c:v>11-May</c:v>
                  </c:pt>
                  <c:pt idx="131">
                    <c:v>12-May</c:v>
                  </c:pt>
                  <c:pt idx="132">
                    <c:v>13-May</c:v>
                  </c:pt>
                  <c:pt idx="133">
                    <c:v>14-May</c:v>
                  </c:pt>
                  <c:pt idx="134">
                    <c:v>15-May</c:v>
                  </c:pt>
                  <c:pt idx="135">
                    <c:v>16-May</c:v>
                  </c:pt>
                  <c:pt idx="136">
                    <c:v>17-May</c:v>
                  </c:pt>
                  <c:pt idx="137">
                    <c:v>18-May</c:v>
                  </c:pt>
                  <c:pt idx="138">
                    <c:v>19-May</c:v>
                  </c:pt>
                  <c:pt idx="139">
                    <c:v>20-May</c:v>
                  </c:pt>
                  <c:pt idx="140">
                    <c:v>21-May</c:v>
                  </c:pt>
                  <c:pt idx="141">
                    <c:v>22-May</c:v>
                  </c:pt>
                  <c:pt idx="142">
                    <c:v>23-May</c:v>
                  </c:pt>
                  <c:pt idx="143">
                    <c:v>24-May</c:v>
                  </c:pt>
                  <c:pt idx="144">
                    <c:v>25-May</c:v>
                  </c:pt>
                  <c:pt idx="145">
                    <c:v>26-May</c:v>
                  </c:pt>
                  <c:pt idx="146">
                    <c:v>27-May</c:v>
                  </c:pt>
                  <c:pt idx="147">
                    <c:v>28-May</c:v>
                  </c:pt>
                  <c:pt idx="148">
                    <c:v>29-May</c:v>
                  </c:pt>
                  <c:pt idx="149">
                    <c:v>30-May</c:v>
                  </c:pt>
                  <c:pt idx="150">
                    <c:v>31-May</c:v>
                  </c:pt>
                </c:lvl>
                <c:lvl>
                  <c:pt idx="0">
                    <c:v>Jan</c:v>
                  </c:pt>
                  <c:pt idx="31">
                    <c:v>Feb</c:v>
                  </c:pt>
                  <c:pt idx="59">
                    <c:v>Mar</c:v>
                  </c:pt>
                  <c:pt idx="90">
                    <c:v>Apr</c:v>
                  </c:pt>
                  <c:pt idx="120">
                    <c:v>May</c:v>
                  </c:pt>
                </c:lvl>
              </c:multiLvlStrCache>
            </c:multiLvlStrRef>
          </c:cat>
          <c:val>
            <c:numRef>
              <c:f>'Pivot tables'!$K$23:$K$179</c:f>
              <c:numCache>
                <c:formatCode>General</c:formatCode>
                <c:ptCount val="151"/>
                <c:pt idx="0">
                  <c:v>627</c:v>
                </c:pt>
                <c:pt idx="1">
                  <c:v>530</c:v>
                </c:pt>
                <c:pt idx="2">
                  <c:v>950</c:v>
                </c:pt>
                <c:pt idx="3">
                  <c:v>821</c:v>
                </c:pt>
                <c:pt idx="4">
                  <c:v>837</c:v>
                </c:pt>
                <c:pt idx="5">
                  <c:v>627</c:v>
                </c:pt>
                <c:pt idx="6">
                  <c:v>552</c:v>
                </c:pt>
                <c:pt idx="7">
                  <c:v>648</c:v>
                </c:pt>
                <c:pt idx="8">
                  <c:v>540</c:v>
                </c:pt>
                <c:pt idx="9">
                  <c:v>828</c:v>
                </c:pt>
                <c:pt idx="10">
                  <c:v>726</c:v>
                </c:pt>
                <c:pt idx="11">
                  <c:v>596</c:v>
                </c:pt>
                <c:pt idx="12">
                  <c:v>784</c:v>
                </c:pt>
                <c:pt idx="13">
                  <c:v>965</c:v>
                </c:pt>
                <c:pt idx="14">
                  <c:v>544</c:v>
                </c:pt>
                <c:pt idx="15">
                  <c:v>940</c:v>
                </c:pt>
                <c:pt idx="16">
                  <c:v>729</c:v>
                </c:pt>
                <c:pt idx="17">
                  <c:v>992</c:v>
                </c:pt>
                <c:pt idx="18">
                  <c:v>540</c:v>
                </c:pt>
                <c:pt idx="19">
                  <c:v>668</c:v>
                </c:pt>
                <c:pt idx="20">
                  <c:v>669</c:v>
                </c:pt>
                <c:pt idx="21">
                  <c:v>729</c:v>
                </c:pt>
                <c:pt idx="22">
                  <c:v>882</c:v>
                </c:pt>
                <c:pt idx="23">
                  <c:v>890</c:v>
                </c:pt>
                <c:pt idx="24">
                  <c:v>892</c:v>
                </c:pt>
                <c:pt idx="25">
                  <c:v>632</c:v>
                </c:pt>
                <c:pt idx="26">
                  <c:v>899</c:v>
                </c:pt>
                <c:pt idx="27">
                  <c:v>931</c:v>
                </c:pt>
                <c:pt idx="28">
                  <c:v>771</c:v>
                </c:pt>
                <c:pt idx="29">
                  <c:v>520</c:v>
                </c:pt>
                <c:pt idx="30">
                  <c:v>618</c:v>
                </c:pt>
                <c:pt idx="31">
                  <c:v>732</c:v>
                </c:pt>
                <c:pt idx="32">
                  <c:v>771</c:v>
                </c:pt>
                <c:pt idx="33">
                  <c:v>941</c:v>
                </c:pt>
                <c:pt idx="34">
                  <c:v>985</c:v>
                </c:pt>
                <c:pt idx="35">
                  <c:v>931</c:v>
                </c:pt>
                <c:pt idx="36">
                  <c:v>770</c:v>
                </c:pt>
                <c:pt idx="37">
                  <c:v>642</c:v>
                </c:pt>
                <c:pt idx="38">
                  <c:v>606</c:v>
                </c:pt>
                <c:pt idx="39">
                  <c:v>777</c:v>
                </c:pt>
                <c:pt idx="40">
                  <c:v>851</c:v>
                </c:pt>
                <c:pt idx="41">
                  <c:v>930</c:v>
                </c:pt>
                <c:pt idx="42">
                  <c:v>582</c:v>
                </c:pt>
                <c:pt idx="43">
                  <c:v>581</c:v>
                </c:pt>
                <c:pt idx="44">
                  <c:v>735</c:v>
                </c:pt>
                <c:pt idx="45">
                  <c:v>787</c:v>
                </c:pt>
                <c:pt idx="46">
                  <c:v>527</c:v>
                </c:pt>
                <c:pt idx="47">
                  <c:v>954</c:v>
                </c:pt>
                <c:pt idx="48">
                  <c:v>851</c:v>
                </c:pt>
                <c:pt idx="49">
                  <c:v>802</c:v>
                </c:pt>
                <c:pt idx="50">
                  <c:v>601</c:v>
                </c:pt>
                <c:pt idx="51">
                  <c:v>999</c:v>
                </c:pt>
                <c:pt idx="52">
                  <c:v>837</c:v>
                </c:pt>
                <c:pt idx="53">
                  <c:v>759</c:v>
                </c:pt>
                <c:pt idx="54">
                  <c:v>657</c:v>
                </c:pt>
                <c:pt idx="55">
                  <c:v>571</c:v>
                </c:pt>
                <c:pt idx="56">
                  <c:v>796</c:v>
                </c:pt>
                <c:pt idx="57">
                  <c:v>501</c:v>
                </c:pt>
                <c:pt idx="58">
                  <c:v>779</c:v>
                </c:pt>
                <c:pt idx="59">
                  <c:v>976</c:v>
                </c:pt>
                <c:pt idx="60">
                  <c:v>658</c:v>
                </c:pt>
                <c:pt idx="61">
                  <c:v>647</c:v>
                </c:pt>
                <c:pt idx="62">
                  <c:v>991</c:v>
                </c:pt>
                <c:pt idx="63">
                  <c:v>502</c:v>
                </c:pt>
                <c:pt idx="64">
                  <c:v>770</c:v>
                </c:pt>
                <c:pt idx="65">
                  <c:v>953</c:v>
                </c:pt>
                <c:pt idx="66">
                  <c:v>754</c:v>
                </c:pt>
                <c:pt idx="67">
                  <c:v>950</c:v>
                </c:pt>
                <c:pt idx="68">
                  <c:v>613</c:v>
                </c:pt>
                <c:pt idx="69">
                  <c:v>888</c:v>
                </c:pt>
                <c:pt idx="70">
                  <c:v>886</c:v>
                </c:pt>
                <c:pt idx="71">
                  <c:v>722</c:v>
                </c:pt>
                <c:pt idx="72">
                  <c:v>550</c:v>
                </c:pt>
                <c:pt idx="73">
                  <c:v>860</c:v>
                </c:pt>
                <c:pt idx="74">
                  <c:v>806</c:v>
                </c:pt>
                <c:pt idx="75">
                  <c:v>736</c:v>
                </c:pt>
                <c:pt idx="76">
                  <c:v>945</c:v>
                </c:pt>
                <c:pt idx="77">
                  <c:v>641</c:v>
                </c:pt>
                <c:pt idx="78">
                  <c:v>675</c:v>
                </c:pt>
                <c:pt idx="79">
                  <c:v>986</c:v>
                </c:pt>
                <c:pt idx="80">
                  <c:v>980</c:v>
                </c:pt>
                <c:pt idx="81">
                  <c:v>848</c:v>
                </c:pt>
                <c:pt idx="82">
                  <c:v>635</c:v>
                </c:pt>
                <c:pt idx="83">
                  <c:v>729</c:v>
                </c:pt>
                <c:pt idx="84">
                  <c:v>737</c:v>
                </c:pt>
                <c:pt idx="85">
                  <c:v>505</c:v>
                </c:pt>
                <c:pt idx="86">
                  <c:v>566</c:v>
                </c:pt>
                <c:pt idx="87">
                  <c:v>850</c:v>
                </c:pt>
                <c:pt idx="88">
                  <c:v>554</c:v>
                </c:pt>
                <c:pt idx="89">
                  <c:v>675</c:v>
                </c:pt>
                <c:pt idx="90">
                  <c:v>796</c:v>
                </c:pt>
                <c:pt idx="91">
                  <c:v>727</c:v>
                </c:pt>
                <c:pt idx="92">
                  <c:v>806</c:v>
                </c:pt>
                <c:pt idx="93">
                  <c:v>560</c:v>
                </c:pt>
                <c:pt idx="94">
                  <c:v>996</c:v>
                </c:pt>
                <c:pt idx="95">
                  <c:v>669</c:v>
                </c:pt>
                <c:pt idx="96">
                  <c:v>998</c:v>
                </c:pt>
                <c:pt idx="97">
                  <c:v>512</c:v>
                </c:pt>
                <c:pt idx="98">
                  <c:v>893</c:v>
                </c:pt>
                <c:pt idx="99">
                  <c:v>797</c:v>
                </c:pt>
                <c:pt idx="100">
                  <c:v>663</c:v>
                </c:pt>
                <c:pt idx="101">
                  <c:v>554</c:v>
                </c:pt>
                <c:pt idx="102">
                  <c:v>703</c:v>
                </c:pt>
                <c:pt idx="103">
                  <c:v>857</c:v>
                </c:pt>
                <c:pt idx="104">
                  <c:v>664</c:v>
                </c:pt>
                <c:pt idx="105">
                  <c:v>962</c:v>
                </c:pt>
                <c:pt idx="106">
                  <c:v>590</c:v>
                </c:pt>
                <c:pt idx="107">
                  <c:v>613</c:v>
                </c:pt>
                <c:pt idx="108">
                  <c:v>914</c:v>
                </c:pt>
                <c:pt idx="109">
                  <c:v>549</c:v>
                </c:pt>
                <c:pt idx="110">
                  <c:v>516</c:v>
                </c:pt>
                <c:pt idx="111">
                  <c:v>803</c:v>
                </c:pt>
                <c:pt idx="112">
                  <c:v>802</c:v>
                </c:pt>
                <c:pt idx="113">
                  <c:v>986</c:v>
                </c:pt>
                <c:pt idx="114">
                  <c:v>568</c:v>
                </c:pt>
                <c:pt idx="115">
                  <c:v>638</c:v>
                </c:pt>
                <c:pt idx="116">
                  <c:v>712</c:v>
                </c:pt>
                <c:pt idx="117">
                  <c:v>789</c:v>
                </c:pt>
                <c:pt idx="118">
                  <c:v>820</c:v>
                </c:pt>
                <c:pt idx="119">
                  <c:v>569</c:v>
                </c:pt>
                <c:pt idx="120">
                  <c:v>897</c:v>
                </c:pt>
                <c:pt idx="121">
                  <c:v>527</c:v>
                </c:pt>
                <c:pt idx="122">
                  <c:v>798</c:v>
                </c:pt>
                <c:pt idx="123">
                  <c:v>695</c:v>
                </c:pt>
                <c:pt idx="124">
                  <c:v>871</c:v>
                </c:pt>
                <c:pt idx="125">
                  <c:v>660</c:v>
                </c:pt>
                <c:pt idx="126">
                  <c:v>818</c:v>
                </c:pt>
                <c:pt idx="127">
                  <c:v>946</c:v>
                </c:pt>
                <c:pt idx="128">
                  <c:v>570</c:v>
                </c:pt>
                <c:pt idx="129">
                  <c:v>666</c:v>
                </c:pt>
                <c:pt idx="130">
                  <c:v>778</c:v>
                </c:pt>
                <c:pt idx="131">
                  <c:v>718</c:v>
                </c:pt>
                <c:pt idx="132">
                  <c:v>566</c:v>
                </c:pt>
                <c:pt idx="133">
                  <c:v>940</c:v>
                </c:pt>
                <c:pt idx="134">
                  <c:v>646</c:v>
                </c:pt>
                <c:pt idx="135">
                  <c:v>667</c:v>
                </c:pt>
                <c:pt idx="136">
                  <c:v>912</c:v>
                </c:pt>
                <c:pt idx="137">
                  <c:v>624</c:v>
                </c:pt>
                <c:pt idx="138">
                  <c:v>658</c:v>
                </c:pt>
                <c:pt idx="139">
                  <c:v>616</c:v>
                </c:pt>
                <c:pt idx="140">
                  <c:v>934</c:v>
                </c:pt>
                <c:pt idx="141">
                  <c:v>897</c:v>
                </c:pt>
                <c:pt idx="142">
                  <c:v>791</c:v>
                </c:pt>
                <c:pt idx="143">
                  <c:v>737</c:v>
                </c:pt>
                <c:pt idx="144">
                  <c:v>891</c:v>
                </c:pt>
                <c:pt idx="145">
                  <c:v>805</c:v>
                </c:pt>
                <c:pt idx="146">
                  <c:v>675</c:v>
                </c:pt>
                <c:pt idx="147">
                  <c:v>959</c:v>
                </c:pt>
                <c:pt idx="148">
                  <c:v>553</c:v>
                </c:pt>
                <c:pt idx="149">
                  <c:v>855</c:v>
                </c:pt>
                <c:pt idx="150">
                  <c:v>580</c:v>
                </c:pt>
              </c:numCache>
            </c:numRef>
          </c:val>
          <c:smooth val="0"/>
          <c:extLst>
            <c:ext xmlns:c16="http://schemas.microsoft.com/office/drawing/2014/chart" uri="{C3380CC4-5D6E-409C-BE32-E72D297353CC}">
              <c16:uniqueId val="{00000001-C225-4403-B1BC-541C98454360}"/>
            </c:ext>
          </c:extLst>
        </c:ser>
        <c:dLbls>
          <c:showLegendKey val="0"/>
          <c:showVal val="0"/>
          <c:showCatName val="0"/>
          <c:showSerName val="0"/>
          <c:showPercent val="0"/>
          <c:showBubbleSize val="0"/>
        </c:dLbls>
        <c:marker val="1"/>
        <c:smooth val="0"/>
        <c:axId val="1098132720"/>
        <c:axId val="1098133968"/>
      </c:lineChart>
      <c:catAx>
        <c:axId val="1031310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ysDot"/>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307760"/>
        <c:crosses val="autoZero"/>
        <c:auto val="1"/>
        <c:lblAlgn val="ctr"/>
        <c:lblOffset val="100"/>
        <c:noMultiLvlLbl val="0"/>
      </c:catAx>
      <c:valAx>
        <c:axId val="1031307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1310672"/>
        <c:crosses val="autoZero"/>
        <c:crossBetween val="between"/>
      </c:valAx>
      <c:valAx>
        <c:axId val="109813396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132720"/>
        <c:crosses val="max"/>
        <c:crossBetween val="between"/>
      </c:valAx>
      <c:catAx>
        <c:axId val="1098132720"/>
        <c:scaling>
          <c:orientation val="minMax"/>
        </c:scaling>
        <c:delete val="1"/>
        <c:axPos val="b"/>
        <c:numFmt formatCode="General" sourceLinked="1"/>
        <c:majorTickMark val="out"/>
        <c:minorTickMark val="none"/>
        <c:tickLblPos val="nextTo"/>
        <c:crossAx val="109813396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[Daily-Sales-Dashboard-in-Excel .xlsx]Pivot 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Conversion</a:t>
            </a:r>
            <a:endParaRPr lang="en-US"/>
          </a:p>
        </c:rich>
      </c:tx>
      <c:layout>
        <c:manualLayout>
          <c:xMode val="edge"/>
          <c:yMode val="edge"/>
          <c:x val="0.23447892749091465"/>
          <c:y val="8.232026472122923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manualLayout>
          <c:layoutTarget val="inner"/>
          <c:xMode val="edge"/>
          <c:yMode val="edge"/>
          <c:x val="0.23494334400709285"/>
          <c:y val="0.20686589790086557"/>
          <c:w val="0.5180849823393463"/>
          <c:h val="0.70308109659407059"/>
        </c:manualLayout>
      </c:layout>
      <c:doughnutChart>
        <c:varyColors val="1"/>
        <c:ser>
          <c:idx val="0"/>
          <c:order val="0"/>
          <c:tx>
            <c:strRef>
              <c:f>'Pivot tables'!$C$4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9F8-475E-95FF-0DB09925DD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9F8-475E-95FF-0DB09925DD4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9F8-475E-95FF-0DB09925DD4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9F8-475E-95FF-0DB09925DD4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9F8-475E-95FF-0DB09925DD4A}"/>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tables'!$B$5:$B$10</c:f>
              <c:strCache>
                <c:ptCount val="5"/>
                <c:pt idx="0">
                  <c:v>Jan</c:v>
                </c:pt>
                <c:pt idx="1">
                  <c:v>Feb</c:v>
                </c:pt>
                <c:pt idx="2">
                  <c:v>Mar</c:v>
                </c:pt>
                <c:pt idx="3">
                  <c:v>Apr</c:v>
                </c:pt>
                <c:pt idx="4">
                  <c:v>May</c:v>
                </c:pt>
              </c:strCache>
            </c:strRef>
          </c:cat>
          <c:val>
            <c:numRef>
              <c:f>'Pivot tables'!$C$5:$C$10</c:f>
              <c:numCache>
                <c:formatCode>General</c:formatCode>
                <c:ptCount val="5"/>
                <c:pt idx="0">
                  <c:v>0.42855269484635222</c:v>
                </c:pt>
                <c:pt idx="1">
                  <c:v>0.40381086803105154</c:v>
                </c:pt>
                <c:pt idx="2">
                  <c:v>0.37158724775309482</c:v>
                </c:pt>
                <c:pt idx="3">
                  <c:v>0.39258149459729413</c:v>
                </c:pt>
                <c:pt idx="4">
                  <c:v>0.39204301075268816</c:v>
                </c:pt>
              </c:numCache>
            </c:numRef>
          </c:val>
          <c:extLst>
            <c:ext xmlns:c16="http://schemas.microsoft.com/office/drawing/2014/chart" uri="{C3380CC4-5D6E-409C-BE32-E72D297353CC}">
              <c16:uniqueId val="{0000000C-8E74-4D13-B512-21D8A3A15879}"/>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4</xdr:col>
      <xdr:colOff>371475</xdr:colOff>
      <xdr:row>1</xdr:row>
      <xdr:rowOff>152402</xdr:rowOff>
    </xdr:from>
    <xdr:to>
      <xdr:col>5</xdr:col>
      <xdr:colOff>619367</xdr:colOff>
      <xdr:row>9</xdr:row>
      <xdr:rowOff>168798</xdr:rowOff>
    </xdr:to>
    <mc:AlternateContent xmlns:mc="http://schemas.openxmlformats.org/markup-compatibility/2006" xmlns:a14="http://schemas.microsoft.com/office/drawing/2010/main">
      <mc:Choice Requires="a14">
        <xdr:graphicFrame macro="">
          <xdr:nvGraphicFramePr>
            <xdr:cNvPr id="2" name="Month 1">
              <a:extLst>
                <a:ext uri="{FF2B5EF4-FFF2-40B4-BE49-F238E27FC236}">
                  <a16:creationId xmlns:a16="http://schemas.microsoft.com/office/drawing/2014/main" id="{1EF6BB3D-2906-4ECE-ADC3-FE45D8A53969}"/>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4784323" y="345313"/>
              <a:ext cx="1827354" cy="1559688"/>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304799</xdr:colOff>
      <xdr:row>2</xdr:row>
      <xdr:rowOff>90487</xdr:rowOff>
    </xdr:from>
    <xdr:to>
      <xdr:col>10</xdr:col>
      <xdr:colOff>600074</xdr:colOff>
      <xdr:row>16</xdr:row>
      <xdr:rowOff>166687</xdr:rowOff>
    </xdr:to>
    <xdr:graphicFrame macro="">
      <xdr:nvGraphicFramePr>
        <xdr:cNvPr id="3" name="Chart 2">
          <a:extLst>
            <a:ext uri="{FF2B5EF4-FFF2-40B4-BE49-F238E27FC236}">
              <a16:creationId xmlns:a16="http://schemas.microsoft.com/office/drawing/2014/main" id="{EB9B6F35-F6E5-4EFF-B016-49A1EC8287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1178688</xdr:colOff>
      <xdr:row>13</xdr:row>
      <xdr:rowOff>66918</xdr:rowOff>
    </xdr:from>
    <xdr:to>
      <xdr:col>5</xdr:col>
      <xdr:colOff>1030233</xdr:colOff>
      <xdr:row>19</xdr:row>
      <xdr:rowOff>108513</xdr:rowOff>
    </xdr:to>
    <mc:AlternateContent xmlns:mc="http://schemas.openxmlformats.org/markup-compatibility/2006" xmlns:a14="http://schemas.microsoft.com/office/drawing/2010/main">
      <mc:Choice Requires="a14">
        <xdr:graphicFrame macro="">
          <xdr:nvGraphicFramePr>
            <xdr:cNvPr id="11" name="Calendar 1">
              <a:extLst>
                <a:ext uri="{FF2B5EF4-FFF2-40B4-BE49-F238E27FC236}">
                  <a16:creationId xmlns:a16="http://schemas.microsoft.com/office/drawing/2014/main" id="{A049D4CC-564A-44B3-BFE0-6317434A5B4F}"/>
                </a:ext>
              </a:extLst>
            </xdr:cNvPr>
            <xdr:cNvGraphicFramePr/>
          </xdr:nvGraphicFramePr>
          <xdr:xfrm>
            <a:off x="0" y="0"/>
            <a:ext cx="0" cy="0"/>
          </xdr:xfrm>
          <a:graphic>
            <a:graphicData uri="http://schemas.microsoft.com/office/drawing/2010/slicer">
              <sle:slicer xmlns:sle="http://schemas.microsoft.com/office/drawing/2010/slicer" name="Calendar 1"/>
            </a:graphicData>
          </a:graphic>
        </xdr:graphicFrame>
      </mc:Choice>
      <mc:Fallback xmlns="">
        <xdr:sp macro="" textlink="">
          <xdr:nvSpPr>
            <xdr:cNvPr id="0" name=""/>
            <xdr:cNvSpPr>
              <a:spLocks noTextEdit="1"/>
            </xdr:cNvSpPr>
          </xdr:nvSpPr>
          <xdr:spPr>
            <a:xfrm>
              <a:off x="3519427" y="2574766"/>
              <a:ext cx="2610901" cy="1199063"/>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52369</xdr:colOff>
      <xdr:row>5</xdr:row>
      <xdr:rowOff>64703</xdr:rowOff>
    </xdr:from>
    <xdr:to>
      <xdr:col>6</xdr:col>
      <xdr:colOff>113169</xdr:colOff>
      <xdr:row>13</xdr:row>
      <xdr:rowOff>89417</xdr:rowOff>
    </xdr:to>
    <mc:AlternateContent xmlns:mc="http://schemas.openxmlformats.org/markup-compatibility/2006" xmlns:a14="http://schemas.microsoft.com/office/drawing/2010/main">
      <mc:Choice Requires="a14">
        <xdr:graphicFrame macro="">
          <xdr:nvGraphicFramePr>
            <xdr:cNvPr id="2" name="Calendar 2">
              <a:extLst>
                <a:ext uri="{FF2B5EF4-FFF2-40B4-BE49-F238E27FC236}">
                  <a16:creationId xmlns:a16="http://schemas.microsoft.com/office/drawing/2014/main" id="{675A3FC3-E5B9-4FAF-9853-0E590E63EC75}"/>
                </a:ext>
              </a:extLst>
            </xdr:cNvPr>
            <xdr:cNvGraphicFramePr/>
          </xdr:nvGraphicFramePr>
          <xdr:xfrm>
            <a:off x="0" y="0"/>
            <a:ext cx="0" cy="0"/>
          </xdr:xfrm>
          <a:graphic>
            <a:graphicData uri="http://schemas.microsoft.com/office/drawing/2010/slicer">
              <sle:slicer xmlns:sle="http://schemas.microsoft.com/office/drawing/2010/slicer" name="Calendar 2"/>
            </a:graphicData>
          </a:graphic>
        </xdr:graphicFrame>
      </mc:Choice>
      <mc:Fallback xmlns="">
        <xdr:sp macro="" textlink="">
          <xdr:nvSpPr>
            <xdr:cNvPr id="0" name=""/>
            <xdr:cNvSpPr>
              <a:spLocks noTextEdit="1"/>
            </xdr:cNvSpPr>
          </xdr:nvSpPr>
          <xdr:spPr>
            <a:xfrm>
              <a:off x="52369" y="1111406"/>
              <a:ext cx="3703327" cy="1531967"/>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57149</xdr:colOff>
      <xdr:row>2</xdr:row>
      <xdr:rowOff>181974</xdr:rowOff>
    </xdr:from>
    <xdr:to>
      <xdr:col>6</xdr:col>
      <xdr:colOff>122599</xdr:colOff>
      <xdr:row>5</xdr:row>
      <xdr:rowOff>41671</xdr:rowOff>
    </xdr:to>
    <mc:AlternateContent xmlns:mc="http://schemas.openxmlformats.org/markup-compatibility/2006" xmlns:a14="http://schemas.microsoft.com/office/drawing/2010/main">
      <mc:Choice Requires="a14">
        <xdr:graphicFrame macro="">
          <xdr:nvGraphicFramePr>
            <xdr:cNvPr id="3" name="Month 2">
              <a:extLst>
                <a:ext uri="{FF2B5EF4-FFF2-40B4-BE49-F238E27FC236}">
                  <a16:creationId xmlns:a16="http://schemas.microsoft.com/office/drawing/2014/main" id="{7FC2A977-B481-454D-A74A-38B523E76B00}"/>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57149" y="663458"/>
              <a:ext cx="3707977" cy="424916"/>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204423</xdr:colOff>
      <xdr:row>4</xdr:row>
      <xdr:rowOff>168089</xdr:rowOff>
    </xdr:from>
    <xdr:to>
      <xdr:col>16</xdr:col>
      <xdr:colOff>156883</xdr:colOff>
      <xdr:row>26</xdr:row>
      <xdr:rowOff>66453</xdr:rowOff>
    </xdr:to>
    <xdr:graphicFrame macro="">
      <xdr:nvGraphicFramePr>
        <xdr:cNvPr id="7" name="Chart 6">
          <a:extLst>
            <a:ext uri="{FF2B5EF4-FFF2-40B4-BE49-F238E27FC236}">
              <a16:creationId xmlns:a16="http://schemas.microsoft.com/office/drawing/2014/main" id="{4FA64FFF-C6E6-4FF1-AEF6-F9333E10BF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313765</xdr:colOff>
      <xdr:row>0</xdr:row>
      <xdr:rowOff>246529</xdr:rowOff>
    </xdr:from>
    <xdr:to>
      <xdr:col>8</xdr:col>
      <xdr:colOff>224118</xdr:colOff>
      <xdr:row>4</xdr:row>
      <xdr:rowOff>44823</xdr:rowOff>
    </xdr:to>
    <xdr:sp macro="" textlink="">
      <xdr:nvSpPr>
        <xdr:cNvPr id="11" name="Rectangle: Rounded Corners 10">
          <a:extLst>
            <a:ext uri="{FF2B5EF4-FFF2-40B4-BE49-F238E27FC236}">
              <a16:creationId xmlns:a16="http://schemas.microsoft.com/office/drawing/2014/main" id="{E6A7A0FB-52BF-4CF9-B291-5DD5CD749134}"/>
            </a:ext>
          </a:extLst>
        </xdr:cNvPr>
        <xdr:cNvSpPr/>
      </xdr:nvSpPr>
      <xdr:spPr>
        <a:xfrm>
          <a:off x="3944471" y="246529"/>
          <a:ext cx="1120588" cy="661147"/>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PH" sz="1100"/>
        </a:p>
      </xdr:txBody>
    </xdr:sp>
    <xdr:clientData/>
  </xdr:twoCellAnchor>
  <xdr:twoCellAnchor>
    <xdr:from>
      <xdr:col>0</xdr:col>
      <xdr:colOff>56361</xdr:colOff>
      <xdr:row>13</xdr:row>
      <xdr:rowOff>137125</xdr:rowOff>
    </xdr:from>
    <xdr:to>
      <xdr:col>6</xdr:col>
      <xdr:colOff>97920</xdr:colOff>
      <xdr:row>26</xdr:row>
      <xdr:rowOff>44302</xdr:rowOff>
    </xdr:to>
    <xdr:graphicFrame macro="">
      <xdr:nvGraphicFramePr>
        <xdr:cNvPr id="9" name="Chart 8">
          <a:extLst>
            <a:ext uri="{FF2B5EF4-FFF2-40B4-BE49-F238E27FC236}">
              <a16:creationId xmlns:a16="http://schemas.microsoft.com/office/drawing/2014/main" id="{06CDDECE-2950-4AE0-A363-9EBB1D2B80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6</xdr:col>
      <xdr:colOff>448235</xdr:colOff>
      <xdr:row>1</xdr:row>
      <xdr:rowOff>44824</xdr:rowOff>
    </xdr:from>
    <xdr:ext cx="896470" cy="372281"/>
    <xdr:sp macro="" textlink="'Pivot tables'!C24">
      <xdr:nvSpPr>
        <xdr:cNvPr id="10" name="TextBox 9">
          <a:extLst>
            <a:ext uri="{FF2B5EF4-FFF2-40B4-BE49-F238E27FC236}">
              <a16:creationId xmlns:a16="http://schemas.microsoft.com/office/drawing/2014/main" id="{6CA5B882-53DA-4D1B-9B72-5782E834B49A}"/>
            </a:ext>
          </a:extLst>
        </xdr:cNvPr>
        <xdr:cNvSpPr txBox="1"/>
      </xdr:nvSpPr>
      <xdr:spPr>
        <a:xfrm>
          <a:off x="4078941" y="336177"/>
          <a:ext cx="896470" cy="3722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fld id="{FECDF30B-85C7-418C-BE01-5DE0F0520F1C}" type="TxLink">
            <a:rPr lang="en-US" sz="1800" b="0" i="0" u="none" strike="noStrike">
              <a:solidFill>
                <a:srgbClr val="000000"/>
              </a:solidFill>
              <a:latin typeface="Avenir Next LT Pro Demi" panose="020B0704020202020204" pitchFamily="34" charset="0"/>
              <a:ea typeface="Calibri" panose="020F0502020204030204" pitchFamily="34" charset="0"/>
              <a:cs typeface="Calibri" panose="020F0502020204030204" pitchFamily="34" charset="0"/>
            </a:rPr>
            <a:pPr/>
            <a:t>22877</a:t>
          </a:fld>
          <a:endParaRPr lang="en-PH" sz="3200">
            <a:latin typeface="Avenir Next LT Pro Demi" panose="020B0704020202020204" pitchFamily="34" charset="0"/>
            <a:ea typeface="Calibri" panose="020F0502020204030204" pitchFamily="34" charset="0"/>
            <a:cs typeface="Calibri" panose="020F0502020204030204" pitchFamily="34" charset="0"/>
          </a:endParaRPr>
        </a:p>
      </xdr:txBody>
    </xdr:sp>
    <xdr:clientData/>
  </xdr:oneCellAnchor>
  <xdr:oneCellAnchor>
    <xdr:from>
      <xdr:col>6</xdr:col>
      <xdr:colOff>466166</xdr:colOff>
      <xdr:row>2</xdr:row>
      <xdr:rowOff>152402</xdr:rowOff>
    </xdr:from>
    <xdr:ext cx="784446" cy="263405"/>
    <xdr:sp macro="" textlink="">
      <xdr:nvSpPr>
        <xdr:cNvPr id="12" name="TextBox 11">
          <a:extLst>
            <a:ext uri="{FF2B5EF4-FFF2-40B4-BE49-F238E27FC236}">
              <a16:creationId xmlns:a16="http://schemas.microsoft.com/office/drawing/2014/main" id="{6C94C42D-56B1-484D-A7D8-0D13A6AE1E23}"/>
            </a:ext>
          </a:extLst>
        </xdr:cNvPr>
        <xdr:cNvSpPr txBox="1"/>
      </xdr:nvSpPr>
      <xdr:spPr>
        <a:xfrm>
          <a:off x="4096872" y="634255"/>
          <a:ext cx="784446" cy="2634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i="0" u="none" strike="noStrike">
              <a:solidFill>
                <a:srgbClr val="000000"/>
              </a:solidFill>
              <a:latin typeface="Avenir Next LT Pro Demi" panose="020B0704020202020204" pitchFamily="34" charset="0"/>
              <a:ea typeface="Calibri"/>
              <a:cs typeface="Calibri"/>
            </a:rPr>
            <a:t># of Calls</a:t>
          </a:r>
        </a:p>
      </xdr:txBody>
    </xdr:sp>
    <xdr:clientData/>
  </xdr:oneCellAnchor>
  <xdr:twoCellAnchor>
    <xdr:from>
      <xdr:col>8</xdr:col>
      <xdr:colOff>403410</xdr:colOff>
      <xdr:row>0</xdr:row>
      <xdr:rowOff>242047</xdr:rowOff>
    </xdr:from>
    <xdr:to>
      <xdr:col>9</xdr:col>
      <xdr:colOff>571497</xdr:colOff>
      <xdr:row>4</xdr:row>
      <xdr:rowOff>40341</xdr:rowOff>
    </xdr:to>
    <xdr:sp macro="" textlink="">
      <xdr:nvSpPr>
        <xdr:cNvPr id="13" name="Rectangle: Rounded Corners 12">
          <a:extLst>
            <a:ext uri="{FF2B5EF4-FFF2-40B4-BE49-F238E27FC236}">
              <a16:creationId xmlns:a16="http://schemas.microsoft.com/office/drawing/2014/main" id="{702770C1-1B11-47A1-AAD7-62A733C7CC19}"/>
            </a:ext>
          </a:extLst>
        </xdr:cNvPr>
        <xdr:cNvSpPr/>
      </xdr:nvSpPr>
      <xdr:spPr>
        <a:xfrm>
          <a:off x="5244351" y="242047"/>
          <a:ext cx="773205" cy="661147"/>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PH" sz="1100"/>
        </a:p>
      </xdr:txBody>
    </xdr:sp>
    <xdr:clientData/>
  </xdr:twoCellAnchor>
  <xdr:oneCellAnchor>
    <xdr:from>
      <xdr:col>8</xdr:col>
      <xdr:colOff>502950</xdr:colOff>
      <xdr:row>1</xdr:row>
      <xdr:rowOff>29136</xdr:rowOff>
    </xdr:from>
    <xdr:ext cx="607089" cy="372281"/>
    <xdr:sp macro="" textlink="'Pivot tables'!D24">
      <xdr:nvSpPr>
        <xdr:cNvPr id="14" name="TextBox 13">
          <a:extLst>
            <a:ext uri="{FF2B5EF4-FFF2-40B4-BE49-F238E27FC236}">
              <a16:creationId xmlns:a16="http://schemas.microsoft.com/office/drawing/2014/main" id="{50E16A54-884E-4E09-B78B-3E3DD5DD475C}"/>
            </a:ext>
          </a:extLst>
        </xdr:cNvPr>
        <xdr:cNvSpPr txBox="1"/>
      </xdr:nvSpPr>
      <xdr:spPr>
        <a:xfrm>
          <a:off x="5343891" y="320489"/>
          <a:ext cx="607089" cy="3722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B6971A41-8616-48CD-B5AE-4BC6F004C32E}" type="TxLink">
            <a:rPr lang="en-US" sz="1800" b="0" i="0" u="none" strike="noStrike">
              <a:solidFill>
                <a:srgbClr val="000000"/>
              </a:solidFill>
              <a:latin typeface="Avenir Next LT Pro Demi" panose="020B0704020202020204" pitchFamily="34" charset="0"/>
              <a:ea typeface="Calibri"/>
              <a:cs typeface="Calibri"/>
            </a:rPr>
            <a:pPr algn="ctr"/>
            <a:t>9804</a:t>
          </a:fld>
          <a:endParaRPr lang="en-US" sz="1800" b="0" i="0" u="none" strike="noStrike">
            <a:solidFill>
              <a:srgbClr val="000000"/>
            </a:solidFill>
            <a:latin typeface="Avenir Next LT Pro Demi" panose="020B0704020202020204" pitchFamily="34" charset="0"/>
            <a:ea typeface="Calibri" panose="020F0502020204030204" pitchFamily="34" charset="0"/>
            <a:cs typeface="Calibri" panose="020F0502020204030204" pitchFamily="34" charset="0"/>
          </a:endParaRPr>
        </a:p>
      </xdr:txBody>
    </xdr:sp>
    <xdr:clientData/>
  </xdr:oneCellAnchor>
  <xdr:oneCellAnchor>
    <xdr:from>
      <xdr:col>8</xdr:col>
      <xdr:colOff>528916</xdr:colOff>
      <xdr:row>2</xdr:row>
      <xdr:rowOff>159126</xdr:rowOff>
    </xdr:from>
    <xdr:ext cx="524631" cy="263405"/>
    <xdr:sp macro="" textlink="">
      <xdr:nvSpPr>
        <xdr:cNvPr id="15" name="TextBox 14">
          <a:extLst>
            <a:ext uri="{FF2B5EF4-FFF2-40B4-BE49-F238E27FC236}">
              <a16:creationId xmlns:a16="http://schemas.microsoft.com/office/drawing/2014/main" id="{CB47EB18-203B-481E-9D22-5003DF69BE65}"/>
            </a:ext>
          </a:extLst>
        </xdr:cNvPr>
        <xdr:cNvSpPr txBox="1"/>
      </xdr:nvSpPr>
      <xdr:spPr>
        <a:xfrm>
          <a:off x="5369857" y="640979"/>
          <a:ext cx="524631" cy="2634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r>
            <a:rPr lang="en-US" sz="1100" b="0" i="0" u="none" strike="noStrike">
              <a:solidFill>
                <a:srgbClr val="000000"/>
              </a:solidFill>
              <a:latin typeface="Avenir Next LT Pro Demi" panose="020B0704020202020204" pitchFamily="34" charset="0"/>
              <a:ea typeface="Calibri"/>
              <a:cs typeface="Calibri"/>
            </a:rPr>
            <a:t>Sales</a:t>
          </a:r>
        </a:p>
      </xdr:txBody>
    </xdr:sp>
    <xdr:clientData/>
  </xdr:oneCellAnchor>
  <xdr:twoCellAnchor>
    <xdr:from>
      <xdr:col>10</xdr:col>
      <xdr:colOff>156879</xdr:colOff>
      <xdr:row>0</xdr:row>
      <xdr:rowOff>246530</xdr:rowOff>
    </xdr:from>
    <xdr:to>
      <xdr:col>12</xdr:col>
      <xdr:colOff>403407</xdr:colOff>
      <xdr:row>4</xdr:row>
      <xdr:rowOff>44824</xdr:rowOff>
    </xdr:to>
    <xdr:sp macro="" textlink="">
      <xdr:nvSpPr>
        <xdr:cNvPr id="16" name="Rectangle: Rounded Corners 15">
          <a:extLst>
            <a:ext uri="{FF2B5EF4-FFF2-40B4-BE49-F238E27FC236}">
              <a16:creationId xmlns:a16="http://schemas.microsoft.com/office/drawing/2014/main" id="{60EBFECC-E7DE-419A-8F17-573D82B5B474}"/>
            </a:ext>
          </a:extLst>
        </xdr:cNvPr>
        <xdr:cNvSpPr/>
      </xdr:nvSpPr>
      <xdr:spPr>
        <a:xfrm>
          <a:off x="6208055" y="246530"/>
          <a:ext cx="1456764" cy="661147"/>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PH" sz="1100"/>
        </a:p>
      </xdr:txBody>
    </xdr:sp>
    <xdr:clientData/>
  </xdr:twoCellAnchor>
  <xdr:oneCellAnchor>
    <xdr:from>
      <xdr:col>10</xdr:col>
      <xdr:colOff>414615</xdr:colOff>
      <xdr:row>1</xdr:row>
      <xdr:rowOff>22413</xdr:rowOff>
    </xdr:from>
    <xdr:ext cx="881780" cy="372281"/>
    <xdr:sp macro="" textlink="'Pivot tables'!E24">
      <xdr:nvSpPr>
        <xdr:cNvPr id="17" name="TextBox 16">
          <a:extLst>
            <a:ext uri="{FF2B5EF4-FFF2-40B4-BE49-F238E27FC236}">
              <a16:creationId xmlns:a16="http://schemas.microsoft.com/office/drawing/2014/main" id="{59D28F64-8791-42B0-8635-25EF446D8711}"/>
            </a:ext>
          </a:extLst>
        </xdr:cNvPr>
        <xdr:cNvSpPr txBox="1"/>
      </xdr:nvSpPr>
      <xdr:spPr>
        <a:xfrm>
          <a:off x="6465791" y="313766"/>
          <a:ext cx="881780" cy="3722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fld id="{12AC370C-DD2F-42FC-AED9-344AF4EA9A0C}" type="TxLink">
            <a:rPr lang="en-US" sz="1800" b="0" i="0" u="none" strike="noStrike">
              <a:solidFill>
                <a:srgbClr val="000000"/>
              </a:solidFill>
              <a:latin typeface="Avenir Next LT Pro Demi" panose="020B0704020202020204" pitchFamily="34" charset="0"/>
              <a:ea typeface="Calibri"/>
              <a:cs typeface="Calibri"/>
            </a:rPr>
            <a:pPr/>
            <a:t>42.9%</a:t>
          </a:fld>
          <a:endParaRPr lang="en-PH" sz="4800">
            <a:latin typeface="Avenir Next LT Pro Demi" panose="020B0704020202020204" pitchFamily="34" charset="0"/>
            <a:ea typeface="Calibri" panose="020F0502020204030204" pitchFamily="34" charset="0"/>
            <a:cs typeface="Calibri" panose="020F0502020204030204" pitchFamily="34" charset="0"/>
          </a:endParaRPr>
        </a:p>
      </xdr:txBody>
    </xdr:sp>
    <xdr:clientData/>
  </xdr:oneCellAnchor>
  <xdr:oneCellAnchor>
    <xdr:from>
      <xdr:col>10</xdr:col>
      <xdr:colOff>253250</xdr:colOff>
      <xdr:row>2</xdr:row>
      <xdr:rowOff>152403</xdr:rowOff>
    </xdr:from>
    <xdr:ext cx="1299395" cy="263405"/>
    <xdr:sp macro="" textlink="">
      <xdr:nvSpPr>
        <xdr:cNvPr id="18" name="TextBox 17">
          <a:extLst>
            <a:ext uri="{FF2B5EF4-FFF2-40B4-BE49-F238E27FC236}">
              <a16:creationId xmlns:a16="http://schemas.microsoft.com/office/drawing/2014/main" id="{F0A00A2A-5D5B-48B2-8BED-FF4F9553C093}"/>
            </a:ext>
          </a:extLst>
        </xdr:cNvPr>
        <xdr:cNvSpPr txBox="1"/>
      </xdr:nvSpPr>
      <xdr:spPr>
        <a:xfrm>
          <a:off x="6304426" y="634256"/>
          <a:ext cx="1299395" cy="2634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i="0" u="none" strike="noStrike">
              <a:solidFill>
                <a:srgbClr val="000000"/>
              </a:solidFill>
              <a:latin typeface="Avenir Next LT Pro Demi" panose="020B0704020202020204" pitchFamily="34" charset="0"/>
              <a:ea typeface="Calibri"/>
              <a:cs typeface="Calibri"/>
            </a:rPr>
            <a:t>Sales Conversion</a:t>
          </a:r>
        </a:p>
      </xdr:txBody>
    </xdr:sp>
    <xdr:clientData/>
  </xdr:oneCellAnchor>
  <xdr:twoCellAnchor>
    <xdr:from>
      <xdr:col>13</xdr:col>
      <xdr:colOff>33614</xdr:colOff>
      <xdr:row>0</xdr:row>
      <xdr:rowOff>235324</xdr:rowOff>
    </xdr:from>
    <xdr:to>
      <xdr:col>16</xdr:col>
      <xdr:colOff>168085</xdr:colOff>
      <xdr:row>4</xdr:row>
      <xdr:rowOff>33618</xdr:rowOff>
    </xdr:to>
    <xdr:sp macro="" textlink="">
      <xdr:nvSpPr>
        <xdr:cNvPr id="19" name="Rectangle: Rounded Corners 18">
          <a:extLst>
            <a:ext uri="{FF2B5EF4-FFF2-40B4-BE49-F238E27FC236}">
              <a16:creationId xmlns:a16="http://schemas.microsoft.com/office/drawing/2014/main" id="{F0E89F26-5176-43F5-BCB3-5F361E262BEC}"/>
            </a:ext>
          </a:extLst>
        </xdr:cNvPr>
        <xdr:cNvSpPr/>
      </xdr:nvSpPr>
      <xdr:spPr>
        <a:xfrm>
          <a:off x="7900143" y="235324"/>
          <a:ext cx="1949824" cy="661147"/>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PH" sz="1100"/>
        </a:p>
      </xdr:txBody>
    </xdr:sp>
    <xdr:clientData/>
  </xdr:twoCellAnchor>
  <xdr:oneCellAnchor>
    <xdr:from>
      <xdr:col>14</xdr:col>
      <xdr:colOff>100850</xdr:colOff>
      <xdr:row>1</xdr:row>
      <xdr:rowOff>22413</xdr:rowOff>
    </xdr:from>
    <xdr:ext cx="607089" cy="372281"/>
    <xdr:sp macro="" textlink="'Pivot tables'!F24">
      <xdr:nvSpPr>
        <xdr:cNvPr id="20" name="TextBox 19">
          <a:extLst>
            <a:ext uri="{FF2B5EF4-FFF2-40B4-BE49-F238E27FC236}">
              <a16:creationId xmlns:a16="http://schemas.microsoft.com/office/drawing/2014/main" id="{F8A2C35C-CAD9-460F-97C8-37563320C080}"/>
            </a:ext>
          </a:extLst>
        </xdr:cNvPr>
        <xdr:cNvSpPr txBox="1"/>
      </xdr:nvSpPr>
      <xdr:spPr>
        <a:xfrm>
          <a:off x="8572497" y="313766"/>
          <a:ext cx="607089" cy="3722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37B2777-B3A5-4E3F-BB06-933CE14BD857}" type="TxLink">
            <a:rPr lang="en-US" sz="1800" b="0" i="0" u="none" strike="noStrike">
              <a:solidFill>
                <a:srgbClr val="000000"/>
              </a:solidFill>
              <a:latin typeface="Avenir Next LT Pro Demi" panose="020B0704020202020204" pitchFamily="34" charset="0"/>
              <a:ea typeface="Calibri"/>
              <a:cs typeface="Calibri"/>
            </a:rPr>
            <a:pPr/>
            <a:t>316</a:t>
          </a:fld>
          <a:endParaRPr lang="en-PH" sz="4800">
            <a:latin typeface="Avenir Next LT Pro Demi" panose="020B0704020202020204" pitchFamily="34" charset="0"/>
            <a:ea typeface="Calibri" panose="020F0502020204030204" pitchFamily="34" charset="0"/>
            <a:cs typeface="Calibri" panose="020F0502020204030204" pitchFamily="34" charset="0"/>
          </a:endParaRPr>
        </a:p>
      </xdr:txBody>
    </xdr:sp>
    <xdr:clientData/>
  </xdr:oneCellAnchor>
  <xdr:oneCellAnchor>
    <xdr:from>
      <xdr:col>13</xdr:col>
      <xdr:colOff>197222</xdr:colOff>
      <xdr:row>2</xdr:row>
      <xdr:rowOff>129991</xdr:rowOff>
    </xdr:from>
    <xdr:ext cx="1661673" cy="263405"/>
    <xdr:sp macro="" textlink="">
      <xdr:nvSpPr>
        <xdr:cNvPr id="21" name="TextBox 20">
          <a:extLst>
            <a:ext uri="{FF2B5EF4-FFF2-40B4-BE49-F238E27FC236}">
              <a16:creationId xmlns:a16="http://schemas.microsoft.com/office/drawing/2014/main" id="{29EA6EFC-81BE-458A-9EA0-62560CC3BA9C}"/>
            </a:ext>
          </a:extLst>
        </xdr:cNvPr>
        <xdr:cNvSpPr txBox="1"/>
      </xdr:nvSpPr>
      <xdr:spPr>
        <a:xfrm>
          <a:off x="8063751" y="611844"/>
          <a:ext cx="1661673" cy="2634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i="0" u="none" strike="noStrike">
              <a:solidFill>
                <a:srgbClr val="000000"/>
              </a:solidFill>
              <a:latin typeface="Avenir Next LT Pro Demi" panose="020B0704020202020204" pitchFamily="34" charset="0"/>
              <a:ea typeface="Calibri"/>
              <a:cs typeface="Calibri"/>
            </a:rPr>
            <a:t>Average</a:t>
          </a:r>
          <a:r>
            <a:rPr lang="en-US" sz="1100" b="0" i="0" u="none" strike="noStrike" baseline="0">
              <a:solidFill>
                <a:srgbClr val="000000"/>
              </a:solidFill>
              <a:latin typeface="Avenir Next LT Pro Demi" panose="020B0704020202020204" pitchFamily="34" charset="0"/>
              <a:ea typeface="Calibri"/>
              <a:cs typeface="Calibri"/>
            </a:rPr>
            <a:t> Sales per Day</a:t>
          </a:r>
        </a:p>
      </xdr:txBody>
    </xdr:sp>
    <xdr:clientData/>
  </xdr:oneCellAnchor>
  <xdr:oneCellAnchor>
    <xdr:from>
      <xdr:col>0</xdr:col>
      <xdr:colOff>324971</xdr:colOff>
      <xdr:row>0</xdr:row>
      <xdr:rowOff>134471</xdr:rowOff>
    </xdr:from>
    <xdr:ext cx="3387659" cy="465640"/>
    <xdr:sp macro="" textlink="">
      <xdr:nvSpPr>
        <xdr:cNvPr id="22" name="TextBox 21">
          <a:extLst>
            <a:ext uri="{FF2B5EF4-FFF2-40B4-BE49-F238E27FC236}">
              <a16:creationId xmlns:a16="http://schemas.microsoft.com/office/drawing/2014/main" id="{B87EFA3C-A938-457B-ADDC-7570888AD640}"/>
            </a:ext>
          </a:extLst>
        </xdr:cNvPr>
        <xdr:cNvSpPr txBox="1"/>
      </xdr:nvSpPr>
      <xdr:spPr>
        <a:xfrm>
          <a:off x="324971" y="134471"/>
          <a:ext cx="3387659" cy="4656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2400" i="0">
              <a:latin typeface="Avenir Next LT Pro Light" panose="020B0304020202020204" pitchFamily="34" charset="0"/>
            </a:rPr>
            <a:t>Daily</a:t>
          </a:r>
          <a:r>
            <a:rPr lang="en-PH" sz="2400" i="0" baseline="0">
              <a:latin typeface="Avenir Next LT Pro Light" panose="020B0304020202020204" pitchFamily="34" charset="0"/>
            </a:rPr>
            <a:t> Sales Dashboard</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K: An Excel Expert" refreshedDate="44655.77290960648" createdVersion="7" refreshedVersion="7" minRefreshableVersion="3" recordCount="151" xr:uid="{73FE764E-DD6A-4348-9D07-0019AF8C560E}">
  <cacheSource type="worksheet">
    <worksheetSource name="Table1"/>
  </cacheSource>
  <cacheFields count="7">
    <cacheField name="Date" numFmtId="16">
      <sharedItems containsSemiMixedTypes="0" containsNonDate="0" containsDate="1" containsString="0" minDate="2021-01-01T00:00:00" maxDate="2021-10-16T00:00:00" count="288">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7-10T00:00:00" u="1"/>
        <d v="2021-09-01T00:00:00" u="1"/>
        <d v="2021-06-24T00:00:00" u="1"/>
        <d v="2021-08-15T00:00:00" u="1"/>
        <d v="2021-10-06T00:00:00" u="1"/>
        <d v="2021-07-29T00:00:00" u="1"/>
        <d v="2021-09-20T00:00:00" u="1"/>
        <d v="2021-07-03T00:00:00" u="1"/>
        <d v="2021-06-17T00:00:00" u="1"/>
        <d v="2021-08-08T00:00:00" u="1"/>
        <d v="2021-07-22T00:00:00" u="1"/>
        <d v="2021-09-13T00:00:00" u="1"/>
        <d v="2021-08-27T00:00:00" u="1"/>
        <d v="2021-06-10T00:00:00" u="1"/>
        <d v="2021-08-01T00:00:00" u="1"/>
        <d v="2021-07-15T00:00:00" u="1"/>
        <d v="2021-09-06T00:00:00" u="1"/>
        <d v="2021-06-29T00:00:00" u="1"/>
        <d v="2021-08-20T00:00:00" u="1"/>
        <d v="2021-10-11T00:00:00" u="1"/>
        <d v="2021-06-03T00:00:00" u="1"/>
        <d v="2021-09-25T00:00:00" u="1"/>
        <d v="2021-07-08T00:00:00" u="1"/>
        <d v="2021-06-22T00:00:00" u="1"/>
        <d v="2021-08-13T00:00:00" u="1"/>
        <d v="2021-10-04T00:00:00" u="1"/>
        <d v="2021-07-27T00:00:00" u="1"/>
        <d v="2021-09-18T00:00:00" u="1"/>
        <d v="2021-07-01T00:00:00" u="1"/>
        <d v="2021-06-15T00:00:00" u="1"/>
        <d v="2021-08-06T00:00:00" u="1"/>
        <d v="2021-07-20T00:00:00" u="1"/>
        <d v="2021-09-11T00:00:00" u="1"/>
        <d v="2021-08-25T00:00:00" u="1"/>
        <d v="2021-06-08T00:00:00" u="1"/>
        <d v="2021-09-30T00:00:00" u="1"/>
        <d v="2021-07-13T00:00:00" u="1"/>
        <d v="2021-09-04T00:00:00" u="1"/>
        <d v="2021-06-27T00:00:00" u="1"/>
        <d v="2021-08-18T00:00:00" u="1"/>
        <d v="2021-10-09T00:00:00" u="1"/>
        <d v="2021-06-01T00:00:00" u="1"/>
        <d v="2021-09-23T00:00:00" u="1"/>
        <d v="2021-07-06T00:00:00" u="1"/>
        <d v="2021-06-20T00:00:00" u="1"/>
        <d v="2021-08-11T00:00:00" u="1"/>
        <d v="2021-10-02T00:00:00" u="1"/>
        <d v="2021-07-25T00:00:00" u="1"/>
        <d v="2021-09-16T00:00:00" u="1"/>
        <d v="2021-08-30T00:00:00" u="1"/>
        <d v="2021-06-13T00:00:00" u="1"/>
        <d v="2021-08-04T00:00:00" u="1"/>
        <d v="2021-07-18T00:00:00" u="1"/>
        <d v="2021-09-09T00:00:00" u="1"/>
        <d v="2021-08-23T00:00:00" u="1"/>
        <d v="2021-10-14T00:00:00" u="1"/>
        <d v="2021-06-06T00:00:00" u="1"/>
        <d v="2021-09-28T00:00:00" u="1"/>
        <d v="2021-07-11T00:00:00" u="1"/>
        <d v="2021-09-02T00:00:00" u="1"/>
        <d v="2021-06-25T00:00:00" u="1"/>
        <d v="2021-08-16T00:00:00" u="1"/>
        <d v="2021-10-07T00:00:00" u="1"/>
        <d v="2021-07-30T00:00:00" u="1"/>
        <d v="2021-09-21T00:00:00" u="1"/>
        <d v="2021-07-04T00:00:00" u="1"/>
        <d v="2021-06-18T00:00:00" u="1"/>
        <d v="2021-08-09T00:00:00" u="1"/>
        <d v="2021-07-23T00:00:00" u="1"/>
        <d v="2021-09-14T00:00:00" u="1"/>
        <d v="2021-08-28T00:00:00" u="1"/>
        <d v="2021-06-11T00:00:00" u="1"/>
        <d v="2021-08-02T00:00:00" u="1"/>
        <d v="2021-07-16T00:00:00" u="1"/>
        <d v="2021-09-07T00:00:00" u="1"/>
        <d v="2021-06-30T00:00:00" u="1"/>
        <d v="2021-08-21T00:00:00" u="1"/>
        <d v="2021-10-12T00:00:00" u="1"/>
        <d v="2021-06-04T00:00:00" u="1"/>
        <d v="2021-09-26T00:00:00" u="1"/>
        <d v="2021-07-09T00:00:00" u="1"/>
        <d v="2021-06-23T00:00:00" u="1"/>
        <d v="2021-08-14T00:00:00" u="1"/>
        <d v="2021-10-05T00:00:00" u="1"/>
        <d v="2021-07-28T00:00:00" u="1"/>
        <d v="2021-09-19T00:00:00" u="1"/>
        <d v="2021-07-02T00:00:00" u="1"/>
        <d v="2021-06-16T00:00:00" u="1"/>
        <d v="2021-08-07T00:00:00" u="1"/>
        <d v="2021-07-21T00:00:00" u="1"/>
        <d v="2021-09-12T00:00:00" u="1"/>
        <d v="2021-08-26T00:00:00" u="1"/>
        <d v="2021-06-09T00:00:00" u="1"/>
        <d v="2021-07-14T00:00:00" u="1"/>
        <d v="2021-09-05T00:00:00" u="1"/>
        <d v="2021-06-28T00:00:00" u="1"/>
        <d v="2021-08-19T00:00:00" u="1"/>
        <d v="2021-10-10T00:00:00" u="1"/>
        <d v="2021-06-02T00:00:00" u="1"/>
        <d v="2021-09-24T00:00:00" u="1"/>
        <d v="2021-07-07T00:00:00" u="1"/>
        <d v="2021-06-21T00:00:00" u="1"/>
        <d v="2021-08-12T00:00:00" u="1"/>
        <d v="2021-10-03T00:00:00" u="1"/>
        <d v="2021-07-26T00:00:00" u="1"/>
        <d v="2021-09-17T00:00:00" u="1"/>
        <d v="2021-08-31T00:00:00" u="1"/>
        <d v="2021-06-14T00:00:00" u="1"/>
        <d v="2021-08-05T00:00:00" u="1"/>
        <d v="2021-07-19T00:00:00" u="1"/>
        <d v="2021-09-10T00:00:00" u="1"/>
        <d v="2021-08-24T00:00:00" u="1"/>
        <d v="2021-10-15T00:00:00" u="1"/>
        <d v="2021-06-07T00:00:00" u="1"/>
        <d v="2021-09-29T00:00:00" u="1"/>
        <d v="2021-07-12T00:00:00" u="1"/>
        <d v="2021-09-03T00:00:00" u="1"/>
        <d v="2021-06-26T00:00:00" u="1"/>
        <d v="2021-08-17T00:00:00" u="1"/>
        <d v="2021-10-08T00:00:00" u="1"/>
        <d v="2021-07-31T00:00:00" u="1"/>
        <d v="2021-09-22T00:00:00" u="1"/>
        <d v="2021-07-05T00:00:00" u="1"/>
        <d v="2021-06-19T00:00:00" u="1"/>
        <d v="2021-08-10T00:00:00" u="1"/>
        <d v="2021-10-01T00:00:00" u="1"/>
        <d v="2021-07-24T00:00:00" u="1"/>
        <d v="2021-09-15T00:00:00" u="1"/>
        <d v="2021-08-29T00:00:00" u="1"/>
        <d v="2021-06-12T00:00:00" u="1"/>
        <d v="2021-08-03T00:00:00" u="1"/>
        <d v="2021-07-17T00:00:00" u="1"/>
        <d v="2021-09-08T00:00:00" u="1"/>
        <d v="2021-08-22T00:00:00" u="1"/>
        <d v="2021-10-13T00:00:00" u="1"/>
        <d v="2021-06-05T00:00:00" u="1"/>
        <d v="2021-09-27T00:00:00" u="1"/>
      </sharedItems>
      <fieldGroup par="6" base="0">
        <rangePr groupBy="days" startDate="2021-01-01T00:00:00" endDate="2021-10-16T00:00:00"/>
        <groupItems count="368">
          <s v="&lt;01/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6/10/2021"/>
        </groupItems>
      </fieldGroup>
    </cacheField>
    <cacheField name="# of Calls" numFmtId="0">
      <sharedItems containsSemiMixedTypes="0" containsString="0" containsNumber="1" containsInteger="1" minValue="501" maxValue="999"/>
    </cacheField>
    <cacheField name="Sales" numFmtId="0">
      <sharedItems containsSemiMixedTypes="0" containsString="0" containsNumber="1" containsInteger="1" minValue="101" maxValue="499"/>
    </cacheField>
    <cacheField name="Calendar" numFmtId="0">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cacheField>
    <cacheField name="Month" numFmtId="165">
      <sharedItems containsDate="1" containsMixedTypes="1" minDate="2021-01-01T00:00:00" maxDate="2021-10-02T00:00:00" count="20">
        <s v="January"/>
        <s v="February"/>
        <s v="March"/>
        <s v="April"/>
        <s v="May"/>
        <d v="2021-09-01T00:00:00" u="1"/>
        <s v="June" u="1"/>
        <d v="2021-08-01T00:00:00" u="1"/>
        <s v="August" u="1"/>
        <d v="2021-07-01T00:00:00" u="1"/>
        <s v="October" u="1"/>
        <d v="2021-06-01T00:00:00" u="1"/>
        <s v="September" u="1"/>
        <d v="2021-05-01T00:00:00" u="1"/>
        <d v="2021-04-01T00:00:00" u="1"/>
        <d v="2021-03-01T00:00:00" u="1"/>
        <d v="2021-02-01T00:00:00" u="1"/>
        <d v="2021-01-01T00:00:00" u="1"/>
        <d v="2021-10-01T00:00:00" u="1"/>
        <s v="July" u="1"/>
      </sharedItems>
    </cacheField>
    <cacheField name="Sales Conversion" numFmtId="0" formula="Sales/'# of Calls'" databaseField="0"/>
    <cacheField name="Months" numFmtId="0" databaseField="0">
      <fieldGroup base="0">
        <rangePr groupBy="months" startDate="2021-01-01T00:00:00" endDate="2021-10-16T00:00:00"/>
        <groupItems count="14">
          <s v="&lt;01/01/2021"/>
          <s v="Jan"/>
          <s v="Feb"/>
          <s v="Mar"/>
          <s v="Apr"/>
          <s v="May"/>
          <s v="Jun"/>
          <s v="Jul"/>
          <s v="Aug"/>
          <s v="Sep"/>
          <s v="Oct"/>
          <s v="Nov"/>
          <s v="Dec"/>
          <s v="&gt;16/10/2021"/>
        </groupItems>
      </fieldGroup>
    </cacheField>
  </cacheFields>
  <extLst>
    <ext xmlns:x14="http://schemas.microsoft.com/office/spreadsheetml/2009/9/main" uri="{725AE2AE-9491-48be-B2B4-4EB974FC3084}">
      <x14:pivotCacheDefinition pivotCacheId="3694112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
  <r>
    <x v="0"/>
    <n v="627"/>
    <n v="279"/>
    <x v="0"/>
    <x v="0"/>
  </r>
  <r>
    <x v="1"/>
    <n v="530"/>
    <n v="179"/>
    <x v="1"/>
    <x v="0"/>
  </r>
  <r>
    <x v="2"/>
    <n v="950"/>
    <n v="287"/>
    <x v="2"/>
    <x v="0"/>
  </r>
  <r>
    <x v="3"/>
    <n v="821"/>
    <n v="406"/>
    <x v="3"/>
    <x v="0"/>
  </r>
  <r>
    <x v="4"/>
    <n v="837"/>
    <n v="317"/>
    <x v="4"/>
    <x v="0"/>
  </r>
  <r>
    <x v="5"/>
    <n v="627"/>
    <n v="181"/>
    <x v="5"/>
    <x v="0"/>
  </r>
  <r>
    <x v="6"/>
    <n v="552"/>
    <n v="491"/>
    <x v="6"/>
    <x v="0"/>
  </r>
  <r>
    <x v="7"/>
    <n v="648"/>
    <n v="300"/>
    <x v="7"/>
    <x v="0"/>
  </r>
  <r>
    <x v="8"/>
    <n v="540"/>
    <n v="420"/>
    <x v="8"/>
    <x v="0"/>
  </r>
  <r>
    <x v="9"/>
    <n v="828"/>
    <n v="461"/>
    <x v="9"/>
    <x v="0"/>
  </r>
  <r>
    <x v="10"/>
    <n v="726"/>
    <n v="337"/>
    <x v="10"/>
    <x v="0"/>
  </r>
  <r>
    <x v="11"/>
    <n v="596"/>
    <n v="206"/>
    <x v="11"/>
    <x v="0"/>
  </r>
  <r>
    <x v="12"/>
    <n v="784"/>
    <n v="192"/>
    <x v="12"/>
    <x v="0"/>
  </r>
  <r>
    <x v="13"/>
    <n v="965"/>
    <n v="225"/>
    <x v="13"/>
    <x v="0"/>
  </r>
  <r>
    <x v="14"/>
    <n v="544"/>
    <n v="486"/>
    <x v="14"/>
    <x v="0"/>
  </r>
  <r>
    <x v="15"/>
    <n v="940"/>
    <n v="368"/>
    <x v="15"/>
    <x v="0"/>
  </r>
  <r>
    <x v="16"/>
    <n v="729"/>
    <n v="138"/>
    <x v="16"/>
    <x v="0"/>
  </r>
  <r>
    <x v="17"/>
    <n v="992"/>
    <n v="343"/>
    <x v="17"/>
    <x v="0"/>
  </r>
  <r>
    <x v="18"/>
    <n v="540"/>
    <n v="382"/>
    <x v="18"/>
    <x v="0"/>
  </r>
  <r>
    <x v="19"/>
    <n v="668"/>
    <n v="275"/>
    <x v="19"/>
    <x v="0"/>
  </r>
  <r>
    <x v="20"/>
    <n v="669"/>
    <n v="448"/>
    <x v="20"/>
    <x v="0"/>
  </r>
  <r>
    <x v="21"/>
    <n v="729"/>
    <n v="169"/>
    <x v="21"/>
    <x v="0"/>
  </r>
  <r>
    <x v="22"/>
    <n v="882"/>
    <n v="348"/>
    <x v="22"/>
    <x v="0"/>
  </r>
  <r>
    <x v="23"/>
    <n v="890"/>
    <n v="405"/>
    <x v="23"/>
    <x v="0"/>
  </r>
  <r>
    <x v="24"/>
    <n v="892"/>
    <n v="139"/>
    <x v="24"/>
    <x v="0"/>
  </r>
  <r>
    <x v="25"/>
    <n v="632"/>
    <n v="474"/>
    <x v="25"/>
    <x v="0"/>
  </r>
  <r>
    <x v="26"/>
    <n v="899"/>
    <n v="180"/>
    <x v="26"/>
    <x v="0"/>
  </r>
  <r>
    <x v="27"/>
    <n v="931"/>
    <n v="280"/>
    <x v="27"/>
    <x v="0"/>
  </r>
  <r>
    <x v="28"/>
    <n v="771"/>
    <n v="444"/>
    <x v="28"/>
    <x v="0"/>
  </r>
  <r>
    <x v="29"/>
    <n v="520"/>
    <n v="168"/>
    <x v="29"/>
    <x v="0"/>
  </r>
  <r>
    <x v="30"/>
    <n v="618"/>
    <n v="476"/>
    <x v="30"/>
    <x v="0"/>
  </r>
  <r>
    <x v="31"/>
    <n v="732"/>
    <n v="446"/>
    <x v="0"/>
    <x v="1"/>
  </r>
  <r>
    <x v="32"/>
    <n v="771"/>
    <n v="437"/>
    <x v="1"/>
    <x v="1"/>
  </r>
  <r>
    <x v="33"/>
    <n v="941"/>
    <n v="251"/>
    <x v="2"/>
    <x v="1"/>
  </r>
  <r>
    <x v="34"/>
    <n v="985"/>
    <n v="176"/>
    <x v="3"/>
    <x v="1"/>
  </r>
  <r>
    <x v="35"/>
    <n v="931"/>
    <n v="299"/>
    <x v="4"/>
    <x v="1"/>
  </r>
  <r>
    <x v="36"/>
    <n v="770"/>
    <n v="108"/>
    <x v="5"/>
    <x v="1"/>
  </r>
  <r>
    <x v="37"/>
    <n v="642"/>
    <n v="222"/>
    <x v="6"/>
    <x v="1"/>
  </r>
  <r>
    <x v="38"/>
    <n v="606"/>
    <n v="183"/>
    <x v="7"/>
    <x v="1"/>
  </r>
  <r>
    <x v="39"/>
    <n v="777"/>
    <n v="447"/>
    <x v="8"/>
    <x v="1"/>
  </r>
  <r>
    <x v="40"/>
    <n v="851"/>
    <n v="407"/>
    <x v="9"/>
    <x v="1"/>
  </r>
  <r>
    <x v="41"/>
    <n v="930"/>
    <n v="452"/>
    <x v="10"/>
    <x v="1"/>
  </r>
  <r>
    <x v="42"/>
    <n v="582"/>
    <n v="205"/>
    <x v="11"/>
    <x v="1"/>
  </r>
  <r>
    <x v="43"/>
    <n v="581"/>
    <n v="345"/>
    <x v="12"/>
    <x v="1"/>
  </r>
  <r>
    <x v="44"/>
    <n v="735"/>
    <n v="495"/>
    <x v="13"/>
    <x v="1"/>
  </r>
  <r>
    <x v="45"/>
    <n v="787"/>
    <n v="283"/>
    <x v="14"/>
    <x v="1"/>
  </r>
  <r>
    <x v="46"/>
    <n v="527"/>
    <n v="115"/>
    <x v="15"/>
    <x v="1"/>
  </r>
  <r>
    <x v="47"/>
    <n v="954"/>
    <n v="105"/>
    <x v="16"/>
    <x v="1"/>
  </r>
  <r>
    <x v="48"/>
    <n v="851"/>
    <n v="180"/>
    <x v="17"/>
    <x v="1"/>
  </r>
  <r>
    <x v="49"/>
    <n v="802"/>
    <n v="490"/>
    <x v="18"/>
    <x v="1"/>
  </r>
  <r>
    <x v="50"/>
    <n v="601"/>
    <n v="366"/>
    <x v="19"/>
    <x v="1"/>
  </r>
  <r>
    <x v="51"/>
    <n v="999"/>
    <n v="348"/>
    <x v="20"/>
    <x v="1"/>
  </r>
  <r>
    <x v="52"/>
    <n v="837"/>
    <n v="123"/>
    <x v="21"/>
    <x v="1"/>
  </r>
  <r>
    <x v="53"/>
    <n v="759"/>
    <n v="435"/>
    <x v="22"/>
    <x v="1"/>
  </r>
  <r>
    <x v="54"/>
    <n v="657"/>
    <n v="378"/>
    <x v="23"/>
    <x v="1"/>
  </r>
  <r>
    <x v="55"/>
    <n v="571"/>
    <n v="312"/>
    <x v="24"/>
    <x v="1"/>
  </r>
  <r>
    <x v="56"/>
    <n v="796"/>
    <n v="341"/>
    <x v="25"/>
    <x v="1"/>
  </r>
  <r>
    <x v="57"/>
    <n v="501"/>
    <n v="309"/>
    <x v="26"/>
    <x v="1"/>
  </r>
  <r>
    <x v="58"/>
    <n v="779"/>
    <n v="325"/>
    <x v="27"/>
    <x v="1"/>
  </r>
  <r>
    <x v="59"/>
    <n v="976"/>
    <n v="193"/>
    <x v="0"/>
    <x v="2"/>
  </r>
  <r>
    <x v="60"/>
    <n v="658"/>
    <n v="114"/>
    <x v="1"/>
    <x v="2"/>
  </r>
  <r>
    <x v="61"/>
    <n v="647"/>
    <n v="256"/>
    <x v="2"/>
    <x v="2"/>
  </r>
  <r>
    <x v="62"/>
    <n v="991"/>
    <n v="407"/>
    <x v="3"/>
    <x v="2"/>
  </r>
  <r>
    <x v="63"/>
    <n v="502"/>
    <n v="146"/>
    <x v="4"/>
    <x v="2"/>
  </r>
  <r>
    <x v="64"/>
    <n v="770"/>
    <n v="315"/>
    <x v="5"/>
    <x v="2"/>
  </r>
  <r>
    <x v="65"/>
    <n v="953"/>
    <n v="499"/>
    <x v="6"/>
    <x v="2"/>
  </r>
  <r>
    <x v="66"/>
    <n v="754"/>
    <n v="161"/>
    <x v="7"/>
    <x v="2"/>
  </r>
  <r>
    <x v="67"/>
    <n v="950"/>
    <n v="376"/>
    <x v="8"/>
    <x v="2"/>
  </r>
  <r>
    <x v="68"/>
    <n v="613"/>
    <n v="266"/>
    <x v="9"/>
    <x v="2"/>
  </r>
  <r>
    <x v="69"/>
    <n v="888"/>
    <n v="373"/>
    <x v="10"/>
    <x v="2"/>
  </r>
  <r>
    <x v="70"/>
    <n v="886"/>
    <n v="443"/>
    <x v="11"/>
    <x v="2"/>
  </r>
  <r>
    <x v="71"/>
    <n v="722"/>
    <n v="286"/>
    <x v="12"/>
    <x v="2"/>
  </r>
  <r>
    <x v="72"/>
    <n v="550"/>
    <n v="326"/>
    <x v="13"/>
    <x v="2"/>
  </r>
  <r>
    <x v="73"/>
    <n v="860"/>
    <n v="222"/>
    <x v="14"/>
    <x v="2"/>
  </r>
  <r>
    <x v="74"/>
    <n v="806"/>
    <n v="429"/>
    <x v="15"/>
    <x v="2"/>
  </r>
  <r>
    <x v="75"/>
    <n v="736"/>
    <n v="284"/>
    <x v="16"/>
    <x v="2"/>
  </r>
  <r>
    <x v="76"/>
    <n v="945"/>
    <n v="246"/>
    <x v="17"/>
    <x v="2"/>
  </r>
  <r>
    <x v="77"/>
    <n v="641"/>
    <n v="352"/>
    <x v="18"/>
    <x v="2"/>
  </r>
  <r>
    <x v="78"/>
    <n v="675"/>
    <n v="154"/>
    <x v="19"/>
    <x v="2"/>
  </r>
  <r>
    <x v="79"/>
    <n v="986"/>
    <n v="221"/>
    <x v="20"/>
    <x v="2"/>
  </r>
  <r>
    <x v="80"/>
    <n v="980"/>
    <n v="410"/>
    <x v="21"/>
    <x v="2"/>
  </r>
  <r>
    <x v="81"/>
    <n v="848"/>
    <n v="306"/>
    <x v="22"/>
    <x v="2"/>
  </r>
  <r>
    <x v="82"/>
    <n v="635"/>
    <n v="120"/>
    <x v="23"/>
    <x v="2"/>
  </r>
  <r>
    <x v="83"/>
    <n v="729"/>
    <n v="225"/>
    <x v="24"/>
    <x v="2"/>
  </r>
  <r>
    <x v="84"/>
    <n v="737"/>
    <n v="185"/>
    <x v="25"/>
    <x v="2"/>
  </r>
  <r>
    <x v="85"/>
    <n v="505"/>
    <n v="407"/>
    <x v="26"/>
    <x v="2"/>
  </r>
  <r>
    <x v="86"/>
    <n v="566"/>
    <n v="186"/>
    <x v="27"/>
    <x v="2"/>
  </r>
  <r>
    <x v="87"/>
    <n v="850"/>
    <n v="483"/>
    <x v="28"/>
    <x v="2"/>
  </r>
  <r>
    <x v="88"/>
    <n v="554"/>
    <n v="167"/>
    <x v="29"/>
    <x v="2"/>
  </r>
  <r>
    <x v="89"/>
    <n v="675"/>
    <n v="207"/>
    <x v="30"/>
    <x v="2"/>
  </r>
  <r>
    <x v="90"/>
    <n v="796"/>
    <n v="456"/>
    <x v="0"/>
    <x v="3"/>
  </r>
  <r>
    <x v="91"/>
    <n v="727"/>
    <n v="239"/>
    <x v="1"/>
    <x v="3"/>
  </r>
  <r>
    <x v="92"/>
    <n v="806"/>
    <n v="352"/>
    <x v="2"/>
    <x v="3"/>
  </r>
  <r>
    <x v="93"/>
    <n v="560"/>
    <n v="240"/>
    <x v="3"/>
    <x v="3"/>
  </r>
  <r>
    <x v="94"/>
    <n v="996"/>
    <n v="432"/>
    <x v="4"/>
    <x v="3"/>
  </r>
  <r>
    <x v="95"/>
    <n v="669"/>
    <n v="205"/>
    <x v="5"/>
    <x v="3"/>
  </r>
  <r>
    <x v="96"/>
    <n v="998"/>
    <n v="117"/>
    <x v="6"/>
    <x v="3"/>
  </r>
  <r>
    <x v="97"/>
    <n v="512"/>
    <n v="221"/>
    <x v="7"/>
    <x v="3"/>
  </r>
  <r>
    <x v="98"/>
    <n v="893"/>
    <n v="175"/>
    <x v="8"/>
    <x v="3"/>
  </r>
  <r>
    <x v="99"/>
    <n v="797"/>
    <n v="288"/>
    <x v="9"/>
    <x v="3"/>
  </r>
  <r>
    <x v="100"/>
    <n v="663"/>
    <n v="452"/>
    <x v="10"/>
    <x v="3"/>
  </r>
  <r>
    <x v="101"/>
    <n v="554"/>
    <n v="491"/>
    <x v="11"/>
    <x v="3"/>
  </r>
  <r>
    <x v="102"/>
    <n v="703"/>
    <n v="260"/>
    <x v="12"/>
    <x v="3"/>
  </r>
  <r>
    <x v="103"/>
    <n v="857"/>
    <n v="358"/>
    <x v="13"/>
    <x v="3"/>
  </r>
  <r>
    <x v="104"/>
    <n v="664"/>
    <n v="460"/>
    <x v="14"/>
    <x v="3"/>
  </r>
  <r>
    <x v="105"/>
    <n v="962"/>
    <n v="273"/>
    <x v="15"/>
    <x v="3"/>
  </r>
  <r>
    <x v="106"/>
    <n v="590"/>
    <n v="280"/>
    <x v="16"/>
    <x v="3"/>
  </r>
  <r>
    <x v="107"/>
    <n v="613"/>
    <n v="491"/>
    <x v="17"/>
    <x v="3"/>
  </r>
  <r>
    <x v="108"/>
    <n v="914"/>
    <n v="249"/>
    <x v="18"/>
    <x v="3"/>
  </r>
  <r>
    <x v="109"/>
    <n v="549"/>
    <n v="158"/>
    <x v="19"/>
    <x v="3"/>
  </r>
  <r>
    <x v="110"/>
    <n v="516"/>
    <n v="201"/>
    <x v="20"/>
    <x v="3"/>
  </r>
  <r>
    <x v="111"/>
    <n v="803"/>
    <n v="265"/>
    <x v="21"/>
    <x v="3"/>
  </r>
  <r>
    <x v="112"/>
    <n v="802"/>
    <n v="411"/>
    <x v="22"/>
    <x v="3"/>
  </r>
  <r>
    <x v="113"/>
    <n v="986"/>
    <n v="105"/>
    <x v="23"/>
    <x v="3"/>
  </r>
  <r>
    <x v="114"/>
    <n v="568"/>
    <n v="174"/>
    <x v="24"/>
    <x v="3"/>
  </r>
  <r>
    <x v="115"/>
    <n v="638"/>
    <n v="346"/>
    <x v="25"/>
    <x v="3"/>
  </r>
  <r>
    <x v="116"/>
    <n v="712"/>
    <n v="233"/>
    <x v="26"/>
    <x v="3"/>
  </r>
  <r>
    <x v="117"/>
    <n v="789"/>
    <n v="182"/>
    <x v="27"/>
    <x v="3"/>
  </r>
  <r>
    <x v="118"/>
    <n v="820"/>
    <n v="123"/>
    <x v="28"/>
    <x v="3"/>
  </r>
  <r>
    <x v="119"/>
    <n v="569"/>
    <n v="410"/>
    <x v="29"/>
    <x v="3"/>
  </r>
  <r>
    <x v="120"/>
    <n v="897"/>
    <n v="309"/>
    <x v="0"/>
    <x v="4"/>
  </r>
  <r>
    <x v="121"/>
    <n v="527"/>
    <n v="430"/>
    <x v="1"/>
    <x v="4"/>
  </r>
  <r>
    <x v="122"/>
    <n v="798"/>
    <n v="288"/>
    <x v="2"/>
    <x v="4"/>
  </r>
  <r>
    <x v="123"/>
    <n v="695"/>
    <n v="207"/>
    <x v="3"/>
    <x v="4"/>
  </r>
  <r>
    <x v="124"/>
    <n v="871"/>
    <n v="313"/>
    <x v="4"/>
    <x v="4"/>
  </r>
  <r>
    <x v="125"/>
    <n v="660"/>
    <n v="238"/>
    <x v="5"/>
    <x v="4"/>
  </r>
  <r>
    <x v="126"/>
    <n v="818"/>
    <n v="419"/>
    <x v="6"/>
    <x v="4"/>
  </r>
  <r>
    <x v="127"/>
    <n v="946"/>
    <n v="256"/>
    <x v="7"/>
    <x v="4"/>
  </r>
  <r>
    <x v="128"/>
    <n v="570"/>
    <n v="355"/>
    <x v="8"/>
    <x v="4"/>
  </r>
  <r>
    <x v="129"/>
    <n v="666"/>
    <n v="206"/>
    <x v="9"/>
    <x v="4"/>
  </r>
  <r>
    <x v="130"/>
    <n v="778"/>
    <n v="170"/>
    <x v="10"/>
    <x v="4"/>
  </r>
  <r>
    <x v="131"/>
    <n v="718"/>
    <n v="126"/>
    <x v="11"/>
    <x v="4"/>
  </r>
  <r>
    <x v="132"/>
    <n v="566"/>
    <n v="426"/>
    <x v="12"/>
    <x v="4"/>
  </r>
  <r>
    <x v="133"/>
    <n v="940"/>
    <n v="326"/>
    <x v="13"/>
    <x v="4"/>
  </r>
  <r>
    <x v="134"/>
    <n v="646"/>
    <n v="341"/>
    <x v="14"/>
    <x v="4"/>
  </r>
  <r>
    <x v="135"/>
    <n v="667"/>
    <n v="439"/>
    <x v="15"/>
    <x v="4"/>
  </r>
  <r>
    <x v="136"/>
    <n v="912"/>
    <n v="275"/>
    <x v="16"/>
    <x v="4"/>
  </r>
  <r>
    <x v="137"/>
    <n v="624"/>
    <n v="329"/>
    <x v="17"/>
    <x v="4"/>
  </r>
  <r>
    <x v="138"/>
    <n v="658"/>
    <n v="133"/>
    <x v="18"/>
    <x v="4"/>
  </r>
  <r>
    <x v="139"/>
    <n v="616"/>
    <n v="491"/>
    <x v="19"/>
    <x v="4"/>
  </r>
  <r>
    <x v="140"/>
    <n v="934"/>
    <n v="151"/>
    <x v="20"/>
    <x v="4"/>
  </r>
  <r>
    <x v="141"/>
    <n v="897"/>
    <n v="101"/>
    <x v="21"/>
    <x v="4"/>
  </r>
  <r>
    <x v="142"/>
    <n v="791"/>
    <n v="416"/>
    <x v="22"/>
    <x v="4"/>
  </r>
  <r>
    <x v="143"/>
    <n v="737"/>
    <n v="339"/>
    <x v="23"/>
    <x v="4"/>
  </r>
  <r>
    <x v="144"/>
    <n v="891"/>
    <n v="233"/>
    <x v="24"/>
    <x v="4"/>
  </r>
  <r>
    <x v="145"/>
    <n v="805"/>
    <n v="113"/>
    <x v="25"/>
    <x v="4"/>
  </r>
  <r>
    <x v="146"/>
    <n v="675"/>
    <n v="110"/>
    <x v="26"/>
    <x v="4"/>
  </r>
  <r>
    <x v="147"/>
    <n v="959"/>
    <n v="272"/>
    <x v="27"/>
    <x v="4"/>
  </r>
  <r>
    <x v="148"/>
    <n v="553"/>
    <n v="489"/>
    <x v="28"/>
    <x v="4"/>
  </r>
  <r>
    <x v="149"/>
    <n v="855"/>
    <n v="370"/>
    <x v="29"/>
    <x v="4"/>
  </r>
  <r>
    <x v="150"/>
    <n v="580"/>
    <n v="444"/>
    <x v="30"/>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FCC04A-F366-4E24-B6A6-7FEA949EC252}"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B4:C10" firstHeaderRow="1" firstDataRow="1" firstDataCol="1"/>
  <pivotFields count="7">
    <pivotField numFmtId="16"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21">
        <item x="0"/>
        <item h="1" x="1"/>
        <item h="1" x="2"/>
        <item h="1" x="3"/>
        <item h="1" x="4"/>
        <item h="1" m="1" x="6"/>
        <item h="1" m="1" x="19"/>
        <item h="1" m="1" x="8"/>
        <item h="1" m="1" x="12"/>
        <item h="1" m="1" x="10"/>
        <item h="1" m="1" x="17"/>
        <item h="1" m="1" x="16"/>
        <item h="1" m="1" x="15"/>
        <item h="1" m="1" x="14"/>
        <item h="1" m="1" x="13"/>
        <item h="1" m="1" x="11"/>
        <item h="1" m="1" x="9"/>
        <item h="1" m="1" x="7"/>
        <item h="1" m="1" x="5"/>
        <item h="1" m="1" x="18"/>
        <item t="default"/>
      </items>
    </pivotField>
    <pivotField dataField="1" dragToRow="0" dragToCol="0" dragToPage="0" showAll="0" defaultSubtota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1">
    <field x="6"/>
  </rowFields>
  <rowItems count="6">
    <i>
      <x v="1"/>
    </i>
    <i>
      <x v="2"/>
    </i>
    <i>
      <x v="3"/>
    </i>
    <i>
      <x v="4"/>
    </i>
    <i>
      <x v="5"/>
    </i>
    <i t="grand">
      <x/>
    </i>
  </rowItems>
  <colItems count="1">
    <i/>
  </colItems>
  <dataFields count="1">
    <dataField name="Sum of Sales Conversion" fld="5" baseField="0" baseItem="0"/>
  </dataFields>
  <chartFormats count="12">
    <chartFormat chart="3" format="15" series="1">
      <pivotArea type="data" outline="0" fieldPosition="0">
        <references count="1">
          <reference field="4294967294" count="1" selected="0">
            <x v="0"/>
          </reference>
        </references>
      </pivotArea>
    </chartFormat>
    <chartFormat chart="0" format="11" series="1">
      <pivotArea type="data" outline="0" fieldPosition="0">
        <references count="1">
          <reference field="4294967294" count="1" selected="0">
            <x v="0"/>
          </reference>
        </references>
      </pivotArea>
    </chartFormat>
    <chartFormat chart="3" format="16">
      <pivotArea type="data" outline="0" fieldPosition="0">
        <references count="2">
          <reference field="4294967294" count="1" selected="0">
            <x v="0"/>
          </reference>
          <reference field="6" count="1" selected="0">
            <x v="1"/>
          </reference>
        </references>
      </pivotArea>
    </chartFormat>
    <chartFormat chart="3" format="17">
      <pivotArea type="data" outline="0" fieldPosition="0">
        <references count="2">
          <reference field="4294967294" count="1" selected="0">
            <x v="0"/>
          </reference>
          <reference field="6" count="1" selected="0">
            <x v="2"/>
          </reference>
        </references>
      </pivotArea>
    </chartFormat>
    <chartFormat chart="3" format="18">
      <pivotArea type="data" outline="0" fieldPosition="0">
        <references count="2">
          <reference field="4294967294" count="1" selected="0">
            <x v="0"/>
          </reference>
          <reference field="6" count="1" selected="0">
            <x v="3"/>
          </reference>
        </references>
      </pivotArea>
    </chartFormat>
    <chartFormat chart="3" format="19">
      <pivotArea type="data" outline="0" fieldPosition="0">
        <references count="2">
          <reference field="4294967294" count="1" selected="0">
            <x v="0"/>
          </reference>
          <reference field="6" count="1" selected="0">
            <x v="4"/>
          </reference>
        </references>
      </pivotArea>
    </chartFormat>
    <chartFormat chart="3" format="20">
      <pivotArea type="data" outline="0" fieldPosition="0">
        <references count="2">
          <reference field="4294967294" count="1" selected="0">
            <x v="0"/>
          </reference>
          <reference field="6" count="1" selected="0">
            <x v="5"/>
          </reference>
        </references>
      </pivotArea>
    </chartFormat>
    <chartFormat chart="0" format="12">
      <pivotArea type="data" outline="0" fieldPosition="0">
        <references count="2">
          <reference field="4294967294" count="1" selected="0">
            <x v="0"/>
          </reference>
          <reference field="6" count="1" selected="0">
            <x v="1"/>
          </reference>
        </references>
      </pivotArea>
    </chartFormat>
    <chartFormat chart="0" format="13">
      <pivotArea type="data" outline="0" fieldPosition="0">
        <references count="2">
          <reference field="4294967294" count="1" selected="0">
            <x v="0"/>
          </reference>
          <reference field="6" count="1" selected="0">
            <x v="2"/>
          </reference>
        </references>
      </pivotArea>
    </chartFormat>
    <chartFormat chart="0" format="14">
      <pivotArea type="data" outline="0" fieldPosition="0">
        <references count="2">
          <reference field="4294967294" count="1" selected="0">
            <x v="0"/>
          </reference>
          <reference field="6" count="1" selected="0">
            <x v="3"/>
          </reference>
        </references>
      </pivotArea>
    </chartFormat>
    <chartFormat chart="0" format="15">
      <pivotArea type="data" outline="0" fieldPosition="0">
        <references count="2">
          <reference field="4294967294" count="1" selected="0">
            <x v="0"/>
          </reference>
          <reference field="6" count="1" selected="0">
            <x v="4"/>
          </reference>
        </references>
      </pivotArea>
    </chartFormat>
    <chartFormat chart="0" format="16">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181A71-5EF5-40E0-8075-85348EE3DB63}"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I22:K179" firstHeaderRow="0" firstDataRow="1" firstDataCol="1"/>
  <pivotFields count="7">
    <pivotField axis="axisRow" numFmtId="16"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dataField="1" showAll="0"/>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21">
        <item x="0"/>
        <item x="1"/>
        <item x="2"/>
        <item x="3"/>
        <item x="4"/>
        <item h="1" m="1" x="6"/>
        <item h="1" m="1" x="19"/>
        <item h="1" m="1" x="8"/>
        <item h="1" m="1" x="12"/>
        <item h="1" m="1" x="10"/>
        <item h="1" m="1" x="17"/>
        <item h="1" m="1" x="16"/>
        <item h="1" m="1" x="15"/>
        <item h="1" m="1" x="14"/>
        <item h="1" m="1" x="13"/>
        <item h="1" m="1" x="11"/>
        <item h="1" m="1" x="9"/>
        <item h="1" m="1" x="7"/>
        <item h="1" m="1" x="5"/>
        <item h="1" m="1" x="18"/>
        <item t="default"/>
      </items>
    </pivotField>
    <pivotField dragToRow="0" dragToCol="0" dragToPage="0" showAll="0" defaultSubtotal="0"/>
    <pivotField axis="axisRow" showAll="0" defaultSubtotal="0">
      <items count="14">
        <item x="0"/>
        <item x="1"/>
        <item x="2"/>
        <item x="3"/>
        <item x="4"/>
        <item x="5"/>
        <item x="6"/>
        <item x="7"/>
        <item x="8"/>
        <item x="9"/>
        <item x="10"/>
        <item x="11"/>
        <item x="12"/>
        <item x="13"/>
      </items>
    </pivotField>
  </pivotFields>
  <rowFields count="2">
    <field x="6"/>
    <field x="0"/>
  </rowFields>
  <rowItems count="157">
    <i>
      <x v="1"/>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x v="2"/>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x v="3"/>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x v="4"/>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x v="5"/>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r="1">
      <x v="143"/>
    </i>
    <i r="1">
      <x v="144"/>
    </i>
    <i r="1">
      <x v="145"/>
    </i>
    <i r="1">
      <x v="146"/>
    </i>
    <i r="1">
      <x v="147"/>
    </i>
    <i r="1">
      <x v="148"/>
    </i>
    <i r="1">
      <x v="149"/>
    </i>
    <i r="1">
      <x v="150"/>
    </i>
    <i r="1">
      <x v="151"/>
    </i>
    <i r="1">
      <x v="152"/>
    </i>
    <i t="grand">
      <x/>
    </i>
  </rowItems>
  <colFields count="1">
    <field x="-2"/>
  </colFields>
  <colItems count="2">
    <i>
      <x/>
    </i>
    <i i="1">
      <x v="1"/>
    </i>
  </colItems>
  <dataFields count="2">
    <dataField name="# of Sales" fld="2" baseField="0" baseItem="4"/>
    <dataField name="Sum of # of Calls" fld="1" baseField="0" baseItem="0"/>
  </dataFields>
  <chartFormats count="3">
    <chartFormat chart="4" format="2"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3DCF6D-78AA-4D5D-908E-9370FFB40C8B}"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23:F29" firstHeaderRow="0" firstDataRow="1" firstDataCol="1"/>
  <pivotFields count="7">
    <pivotField numFmtId="16" showAll="0"/>
    <pivotField dataField="1" showAll="0"/>
    <pivotField dataField="1" showAll="0"/>
    <pivotField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axis="axisRow" showAll="0">
      <items count="21">
        <item x="0"/>
        <item x="1"/>
        <item x="2"/>
        <item x="3"/>
        <item x="4"/>
        <item h="1" m="1" x="6"/>
        <item h="1" m="1" x="19"/>
        <item h="1" m="1" x="8"/>
        <item h="1" m="1" x="12"/>
        <item h="1" m="1" x="10"/>
        <item h="1" m="1" x="17"/>
        <item h="1" m="1" x="16"/>
        <item h="1" m="1" x="15"/>
        <item h="1" m="1" x="14"/>
        <item h="1" m="1" x="13"/>
        <item h="1" m="1" x="11"/>
        <item h="1" m="1" x="9"/>
        <item h="1" m="1" x="7"/>
        <item h="1" m="1" x="5"/>
        <item h="1" m="1" x="18"/>
        <item t="default"/>
      </items>
    </pivotField>
    <pivotField dataField="1" dragToRow="0" dragToCol="0" dragToPage="0" showAll="0" defaultSubtotal="0"/>
    <pivotField showAll="0" defaultSubtotal="0"/>
  </pivotFields>
  <rowFields count="1">
    <field x="4"/>
  </rowFields>
  <rowItems count="6">
    <i>
      <x/>
    </i>
    <i>
      <x v="1"/>
    </i>
    <i>
      <x v="2"/>
    </i>
    <i>
      <x v="3"/>
    </i>
    <i>
      <x v="4"/>
    </i>
    <i t="grand">
      <x/>
    </i>
  </rowItems>
  <colFields count="1">
    <field x="-2"/>
  </colFields>
  <colItems count="4">
    <i>
      <x/>
    </i>
    <i i="1">
      <x v="1"/>
    </i>
    <i i="2">
      <x v="2"/>
    </i>
    <i i="3">
      <x v="3"/>
    </i>
  </colItems>
  <dataFields count="4">
    <dataField name="Sum of # of Calls" fld="1" baseField="0" baseItem="0"/>
    <dataField name="Sum of Sales" fld="2" baseField="0" baseItem="0"/>
    <dataField name="Sum of Sales Conversion" fld="5" baseField="0" baseItem="0" numFmtId="164"/>
    <dataField name="Average of Sales2" fld="2" subtotal="average" baseField="4" baseItem="4" numFmtId="1"/>
  </dataFields>
  <formats count="3">
    <format dxfId="2">
      <pivotArea outline="0" collapsedLevelsAreSubtotals="1" fieldPosition="0">
        <references count="1">
          <reference field="4294967294" count="1" selected="0">
            <x v="2"/>
          </reference>
        </references>
      </pivotArea>
    </format>
    <format dxfId="1">
      <pivotArea collapsedLevelsAreSubtotals="1" fieldPosition="0">
        <references count="2">
          <reference field="4294967294" count="1" selected="0">
            <x v="3"/>
          </reference>
          <reference field="4" count="0"/>
        </references>
      </pivotArea>
    </format>
    <format dxfId="0">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E7EF7F6A-D9AC-4997-B658-C9D698EC57CF}" sourceName="Month">
  <pivotTables>
    <pivotTable tabId="6" name="PivotTable2"/>
    <pivotTable tabId="6" name="PivotTable3"/>
  </pivotTables>
  <data>
    <tabular pivotCacheId="369411291">
      <items count="20">
        <i x="0" s="1"/>
        <i x="1" s="1"/>
        <i x="2" s="1"/>
        <i x="3" s="1"/>
        <i x="4" s="1"/>
        <i x="6" nd="1"/>
        <i x="19" nd="1"/>
        <i x="8" nd="1"/>
        <i x="12" nd="1"/>
        <i x="10" nd="1"/>
        <i x="17" nd="1"/>
        <i x="16" nd="1"/>
        <i x="15" nd="1"/>
        <i x="14" nd="1"/>
        <i x="13" nd="1"/>
        <i x="11" nd="1"/>
        <i x="9" nd="1"/>
        <i x="7" nd="1"/>
        <i x="5" nd="1"/>
        <i x="18"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endar1" xr10:uid="{585F09DE-734D-4E73-ADBC-4999FE5638D5}" sourceName="Calendar">
  <pivotTables>
    <pivotTable tabId="6" name="PivotTable2"/>
    <pivotTable tabId="6" name="PivotTable3"/>
  </pivotTables>
  <data>
    <tabular pivotCacheId="369411291">
      <items count="31">
        <i x="0" s="1"/>
        <i x="1" s="1"/>
        <i x="2" s="1"/>
        <i x="3" s="1"/>
        <i x="4" s="1"/>
        <i x="5" s="1"/>
        <i x="6" s="1"/>
        <i x="7" s="1"/>
        <i x="8" s="1"/>
        <i x="9" s="1"/>
        <i x="10" s="1"/>
        <i x="11" s="1"/>
        <i x="12" s="1"/>
        <i x="13" s="1"/>
        <i x="14" s="1"/>
        <i x="15" s="1"/>
        <i x="16" s="1"/>
        <i x="17" s="1"/>
        <i x="18" s="1"/>
        <i x="19" s="1"/>
        <i x="20" s="1"/>
        <i x="21" s="1"/>
        <i x="22" s="1"/>
        <i x="23" s="1"/>
        <i x="24" s="1"/>
        <i x="25" s="1"/>
        <i x="26" s="1"/>
        <i x="27" s="1"/>
        <i x="28" s="1"/>
        <i x="29" s="1"/>
        <i x="30"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48391F9C-90A8-421B-9816-13AC6916B233}" cache="Slicer_Month1" caption="Month" showCaption="0" rowHeight="241300"/>
  <slicer name="Calendar 1" xr10:uid="{F4B806A8-5DF1-49D1-B158-B0C47F59882C}" cache="Slicer_Calendar1" caption="Calendar" columnCount="7" showCaption="0" rowHeight="18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9D07975E-BBCE-476A-80FD-D8DED6F36FAB}" cache="Slicer_Month1" caption="Month" columnCount="5" showCaption="0" style="SlicerStyleLight1 2" rowHeight="241300"/>
  <slicer name="Calendar 2" xr10:uid="{5397C777-B4ED-4158-8F62-9F774132F6F7}" cache="Slicer_Calendar1" caption="Calendar" columnCount="7" showCaption="0" style="SlicerStyleLight1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EF84F3-20CC-452E-BAEA-5FF9FBC8188B}" name="Table1" displayName="Table1" ref="A1:E152" totalsRowShown="0" headerRowDxfId="9" dataDxfId="8">
  <tableColumns count="5">
    <tableColumn id="1" xr3:uid="{2CD87D98-DC28-43D3-AE8D-14C389272590}" name="Date" dataDxfId="7"/>
    <tableColumn id="2" xr3:uid="{22D94022-7BBB-473D-8C22-1AF88DD57FEB}" name="# of Calls" dataDxfId="6"/>
    <tableColumn id="3" xr3:uid="{837D54E3-F150-4A59-A5C7-43760F0717A6}" name="Sales" dataDxfId="5"/>
    <tableColumn id="4" xr3:uid="{408DE43B-159A-4065-93B6-0DEC04A7F62D}" name="Calendar" dataDxfId="4"/>
    <tableColumn id="5" xr3:uid="{22477AEB-41C8-4035-8F37-16046DEE61D6}" name="Month" dataDxfId="3">
      <calculatedColumnFormula>TEXT(Table1[[#This Row],[Date]],"MMMM")</calculatedColumnFormula>
    </tableColumn>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566AE-0D1F-4DF8-89EA-6DA771A1F8B8}">
  <dimension ref="A1:E152"/>
  <sheetViews>
    <sheetView showGridLines="0" workbookViewId="0">
      <selection activeCell="G145" sqref="G145"/>
    </sheetView>
  </sheetViews>
  <sheetFormatPr defaultRowHeight="15" x14ac:dyDescent="0.25"/>
  <cols>
    <col min="2" max="2" width="8.85546875" bestFit="1" customWidth="1"/>
    <col min="3" max="3" width="11.42578125" bestFit="1" customWidth="1"/>
    <col min="4" max="4" width="10.28515625" customWidth="1"/>
    <col min="5" max="5" width="14.5703125" style="5" bestFit="1" customWidth="1"/>
  </cols>
  <sheetData>
    <row r="1" spans="1:5" x14ac:dyDescent="0.25">
      <c r="A1" s="7" t="s">
        <v>0</v>
      </c>
      <c r="B1" s="7" t="s">
        <v>5</v>
      </c>
      <c r="C1" s="7" t="s">
        <v>6</v>
      </c>
      <c r="D1" s="7" t="s">
        <v>3</v>
      </c>
      <c r="E1" s="8" t="s">
        <v>4</v>
      </c>
    </row>
    <row r="2" spans="1:5" x14ac:dyDescent="0.25">
      <c r="A2" s="9">
        <v>44197</v>
      </c>
      <c r="B2" s="7">
        <v>627</v>
      </c>
      <c r="C2" s="7">
        <v>279</v>
      </c>
      <c r="D2" s="7">
        <v>1</v>
      </c>
      <c r="E2" s="8" t="str">
        <f>TEXT(Table1[[#This Row],[Date]],"MMMM")</f>
        <v>January</v>
      </c>
    </row>
    <row r="3" spans="1:5" x14ac:dyDescent="0.25">
      <c r="A3" s="9">
        <v>44198</v>
      </c>
      <c r="B3" s="7">
        <v>530</v>
      </c>
      <c r="C3" s="7">
        <v>179</v>
      </c>
      <c r="D3" s="7">
        <v>2</v>
      </c>
      <c r="E3" s="8" t="str">
        <f>TEXT(Table1[[#This Row],[Date]],"MMMM")</f>
        <v>January</v>
      </c>
    </row>
    <row r="4" spans="1:5" x14ac:dyDescent="0.25">
      <c r="A4" s="9">
        <v>44199</v>
      </c>
      <c r="B4" s="7">
        <v>950</v>
      </c>
      <c r="C4" s="7">
        <v>287</v>
      </c>
      <c r="D4" s="7">
        <v>3</v>
      </c>
      <c r="E4" s="8" t="str">
        <f>TEXT(Table1[[#This Row],[Date]],"MMMM")</f>
        <v>January</v>
      </c>
    </row>
    <row r="5" spans="1:5" x14ac:dyDescent="0.25">
      <c r="A5" s="9">
        <v>44200</v>
      </c>
      <c r="B5" s="7">
        <v>821</v>
      </c>
      <c r="C5" s="7">
        <v>406</v>
      </c>
      <c r="D5" s="7">
        <v>4</v>
      </c>
      <c r="E5" s="8" t="str">
        <f>TEXT(Table1[[#This Row],[Date]],"MMMM")</f>
        <v>January</v>
      </c>
    </row>
    <row r="6" spans="1:5" x14ac:dyDescent="0.25">
      <c r="A6" s="9">
        <v>44201</v>
      </c>
      <c r="B6" s="7">
        <v>837</v>
      </c>
      <c r="C6" s="7">
        <v>317</v>
      </c>
      <c r="D6" s="7">
        <v>5</v>
      </c>
      <c r="E6" s="8" t="str">
        <f>TEXT(Table1[[#This Row],[Date]],"MMMM")</f>
        <v>January</v>
      </c>
    </row>
    <row r="7" spans="1:5" x14ac:dyDescent="0.25">
      <c r="A7" s="9">
        <v>44202</v>
      </c>
      <c r="B7" s="7">
        <v>627</v>
      </c>
      <c r="C7" s="7">
        <v>181</v>
      </c>
      <c r="D7" s="7">
        <v>6</v>
      </c>
      <c r="E7" s="8" t="str">
        <f>TEXT(Table1[[#This Row],[Date]],"MMMM")</f>
        <v>January</v>
      </c>
    </row>
    <row r="8" spans="1:5" x14ac:dyDescent="0.25">
      <c r="A8" s="9">
        <v>44203</v>
      </c>
      <c r="B8" s="7">
        <v>552</v>
      </c>
      <c r="C8" s="7">
        <v>491</v>
      </c>
      <c r="D8" s="7">
        <v>7</v>
      </c>
      <c r="E8" s="8" t="str">
        <f>TEXT(Table1[[#This Row],[Date]],"MMMM")</f>
        <v>January</v>
      </c>
    </row>
    <row r="9" spans="1:5" x14ac:dyDescent="0.25">
      <c r="A9" s="9">
        <v>44204</v>
      </c>
      <c r="B9" s="7">
        <v>648</v>
      </c>
      <c r="C9" s="7">
        <v>300</v>
      </c>
      <c r="D9" s="7">
        <v>8</v>
      </c>
      <c r="E9" s="8" t="str">
        <f>TEXT(Table1[[#This Row],[Date]],"MMMM")</f>
        <v>January</v>
      </c>
    </row>
    <row r="10" spans="1:5" x14ac:dyDescent="0.25">
      <c r="A10" s="9">
        <v>44205</v>
      </c>
      <c r="B10" s="7">
        <v>540</v>
      </c>
      <c r="C10" s="7">
        <v>420</v>
      </c>
      <c r="D10" s="7">
        <v>9</v>
      </c>
      <c r="E10" s="8" t="str">
        <f>TEXT(Table1[[#This Row],[Date]],"MMMM")</f>
        <v>January</v>
      </c>
    </row>
    <row r="11" spans="1:5" x14ac:dyDescent="0.25">
      <c r="A11" s="9">
        <v>44206</v>
      </c>
      <c r="B11" s="7">
        <v>828</v>
      </c>
      <c r="C11" s="7">
        <v>461</v>
      </c>
      <c r="D11" s="7">
        <v>10</v>
      </c>
      <c r="E11" s="8" t="str">
        <f>TEXT(Table1[[#This Row],[Date]],"MMMM")</f>
        <v>January</v>
      </c>
    </row>
    <row r="12" spans="1:5" x14ac:dyDescent="0.25">
      <c r="A12" s="9">
        <v>44207</v>
      </c>
      <c r="B12" s="7">
        <v>726</v>
      </c>
      <c r="C12" s="7">
        <v>337</v>
      </c>
      <c r="D12" s="7">
        <v>11</v>
      </c>
      <c r="E12" s="8" t="str">
        <f>TEXT(Table1[[#This Row],[Date]],"MMMM")</f>
        <v>January</v>
      </c>
    </row>
    <row r="13" spans="1:5" x14ac:dyDescent="0.25">
      <c r="A13" s="9">
        <v>44208</v>
      </c>
      <c r="B13" s="7">
        <v>596</v>
      </c>
      <c r="C13" s="7">
        <v>206</v>
      </c>
      <c r="D13" s="7">
        <v>12</v>
      </c>
      <c r="E13" s="8" t="str">
        <f>TEXT(Table1[[#This Row],[Date]],"MMMM")</f>
        <v>January</v>
      </c>
    </row>
    <row r="14" spans="1:5" x14ac:dyDescent="0.25">
      <c r="A14" s="9">
        <v>44209</v>
      </c>
      <c r="B14" s="7">
        <v>784</v>
      </c>
      <c r="C14" s="7">
        <v>192</v>
      </c>
      <c r="D14" s="7">
        <v>13</v>
      </c>
      <c r="E14" s="8" t="str">
        <f>TEXT(Table1[[#This Row],[Date]],"MMMM")</f>
        <v>January</v>
      </c>
    </row>
    <row r="15" spans="1:5" x14ac:dyDescent="0.25">
      <c r="A15" s="9">
        <v>44210</v>
      </c>
      <c r="B15" s="7">
        <v>965</v>
      </c>
      <c r="C15" s="7">
        <v>225</v>
      </c>
      <c r="D15" s="7">
        <v>14</v>
      </c>
      <c r="E15" s="8" t="str">
        <f>TEXT(Table1[[#This Row],[Date]],"MMMM")</f>
        <v>January</v>
      </c>
    </row>
    <row r="16" spans="1:5" x14ac:dyDescent="0.25">
      <c r="A16" s="9">
        <v>44211</v>
      </c>
      <c r="B16" s="7">
        <v>544</v>
      </c>
      <c r="C16" s="7">
        <v>486</v>
      </c>
      <c r="D16" s="7">
        <v>15</v>
      </c>
      <c r="E16" s="8" t="str">
        <f>TEXT(Table1[[#This Row],[Date]],"MMMM")</f>
        <v>January</v>
      </c>
    </row>
    <row r="17" spans="1:5" x14ac:dyDescent="0.25">
      <c r="A17" s="9">
        <v>44212</v>
      </c>
      <c r="B17" s="7">
        <v>940</v>
      </c>
      <c r="C17" s="7">
        <v>368</v>
      </c>
      <c r="D17" s="7">
        <v>16</v>
      </c>
      <c r="E17" s="8" t="str">
        <f>TEXT(Table1[[#This Row],[Date]],"MMMM")</f>
        <v>January</v>
      </c>
    </row>
    <row r="18" spans="1:5" x14ac:dyDescent="0.25">
      <c r="A18" s="9">
        <v>44213</v>
      </c>
      <c r="B18" s="7">
        <v>729</v>
      </c>
      <c r="C18" s="7">
        <v>138</v>
      </c>
      <c r="D18" s="7">
        <v>17</v>
      </c>
      <c r="E18" s="8" t="str">
        <f>TEXT(Table1[[#This Row],[Date]],"MMMM")</f>
        <v>January</v>
      </c>
    </row>
    <row r="19" spans="1:5" x14ac:dyDescent="0.25">
      <c r="A19" s="9">
        <v>44214</v>
      </c>
      <c r="B19" s="7">
        <v>992</v>
      </c>
      <c r="C19" s="7">
        <v>343</v>
      </c>
      <c r="D19" s="7">
        <v>18</v>
      </c>
      <c r="E19" s="8" t="str">
        <f>TEXT(Table1[[#This Row],[Date]],"MMMM")</f>
        <v>January</v>
      </c>
    </row>
    <row r="20" spans="1:5" x14ac:dyDescent="0.25">
      <c r="A20" s="9">
        <v>44215</v>
      </c>
      <c r="B20" s="7">
        <v>540</v>
      </c>
      <c r="C20" s="7">
        <v>382</v>
      </c>
      <c r="D20" s="7">
        <v>19</v>
      </c>
      <c r="E20" s="8" t="str">
        <f>TEXT(Table1[[#This Row],[Date]],"MMMM")</f>
        <v>January</v>
      </c>
    </row>
    <row r="21" spans="1:5" x14ac:dyDescent="0.25">
      <c r="A21" s="9">
        <v>44216</v>
      </c>
      <c r="B21" s="7">
        <v>668</v>
      </c>
      <c r="C21" s="7">
        <v>275</v>
      </c>
      <c r="D21" s="7">
        <v>20</v>
      </c>
      <c r="E21" s="8" t="str">
        <f>TEXT(Table1[[#This Row],[Date]],"MMMM")</f>
        <v>January</v>
      </c>
    </row>
    <row r="22" spans="1:5" x14ac:dyDescent="0.25">
      <c r="A22" s="9">
        <v>44217</v>
      </c>
      <c r="B22" s="7">
        <v>669</v>
      </c>
      <c r="C22" s="7">
        <v>448</v>
      </c>
      <c r="D22" s="7">
        <v>21</v>
      </c>
      <c r="E22" s="8" t="str">
        <f>TEXT(Table1[[#This Row],[Date]],"MMMM")</f>
        <v>January</v>
      </c>
    </row>
    <row r="23" spans="1:5" x14ac:dyDescent="0.25">
      <c r="A23" s="9">
        <v>44218</v>
      </c>
      <c r="B23" s="7">
        <v>729</v>
      </c>
      <c r="C23" s="7">
        <v>169</v>
      </c>
      <c r="D23" s="7">
        <v>22</v>
      </c>
      <c r="E23" s="8" t="str">
        <f>TEXT(Table1[[#This Row],[Date]],"MMMM")</f>
        <v>January</v>
      </c>
    </row>
    <row r="24" spans="1:5" x14ac:dyDescent="0.25">
      <c r="A24" s="9">
        <v>44219</v>
      </c>
      <c r="B24" s="7">
        <v>882</v>
      </c>
      <c r="C24" s="7">
        <v>348</v>
      </c>
      <c r="D24" s="7">
        <v>23</v>
      </c>
      <c r="E24" s="8" t="str">
        <f>TEXT(Table1[[#This Row],[Date]],"MMMM")</f>
        <v>January</v>
      </c>
    </row>
    <row r="25" spans="1:5" x14ac:dyDescent="0.25">
      <c r="A25" s="9">
        <v>44220</v>
      </c>
      <c r="B25" s="7">
        <v>890</v>
      </c>
      <c r="C25" s="7">
        <v>405</v>
      </c>
      <c r="D25" s="7">
        <v>24</v>
      </c>
      <c r="E25" s="8" t="str">
        <f>TEXT(Table1[[#This Row],[Date]],"MMMM")</f>
        <v>January</v>
      </c>
    </row>
    <row r="26" spans="1:5" x14ac:dyDescent="0.25">
      <c r="A26" s="9">
        <v>44221</v>
      </c>
      <c r="B26" s="7">
        <v>892</v>
      </c>
      <c r="C26" s="7">
        <v>139</v>
      </c>
      <c r="D26" s="7">
        <v>25</v>
      </c>
      <c r="E26" s="8" t="str">
        <f>TEXT(Table1[[#This Row],[Date]],"MMMM")</f>
        <v>January</v>
      </c>
    </row>
    <row r="27" spans="1:5" x14ac:dyDescent="0.25">
      <c r="A27" s="9">
        <v>44222</v>
      </c>
      <c r="B27" s="7">
        <v>632</v>
      </c>
      <c r="C27" s="7">
        <v>474</v>
      </c>
      <c r="D27" s="7">
        <v>26</v>
      </c>
      <c r="E27" s="8" t="str">
        <f>TEXT(Table1[[#This Row],[Date]],"MMMM")</f>
        <v>January</v>
      </c>
    </row>
    <row r="28" spans="1:5" x14ac:dyDescent="0.25">
      <c r="A28" s="9">
        <v>44223</v>
      </c>
      <c r="B28" s="7">
        <v>899</v>
      </c>
      <c r="C28" s="7">
        <v>180</v>
      </c>
      <c r="D28" s="7">
        <v>27</v>
      </c>
      <c r="E28" s="8" t="str">
        <f>TEXT(Table1[[#This Row],[Date]],"MMMM")</f>
        <v>January</v>
      </c>
    </row>
    <row r="29" spans="1:5" x14ac:dyDescent="0.25">
      <c r="A29" s="9">
        <v>44224</v>
      </c>
      <c r="B29" s="7">
        <v>931</v>
      </c>
      <c r="C29" s="7">
        <v>280</v>
      </c>
      <c r="D29" s="7">
        <v>28</v>
      </c>
      <c r="E29" s="8" t="str">
        <f>TEXT(Table1[[#This Row],[Date]],"MMMM")</f>
        <v>January</v>
      </c>
    </row>
    <row r="30" spans="1:5" x14ac:dyDescent="0.25">
      <c r="A30" s="9">
        <v>44225</v>
      </c>
      <c r="B30" s="7">
        <v>771</v>
      </c>
      <c r="C30" s="7">
        <v>444</v>
      </c>
      <c r="D30" s="7">
        <v>29</v>
      </c>
      <c r="E30" s="8" t="str">
        <f>TEXT(Table1[[#This Row],[Date]],"MMMM")</f>
        <v>January</v>
      </c>
    </row>
    <row r="31" spans="1:5" x14ac:dyDescent="0.25">
      <c r="A31" s="9">
        <v>44226</v>
      </c>
      <c r="B31" s="7">
        <v>520</v>
      </c>
      <c r="C31" s="7">
        <v>168</v>
      </c>
      <c r="D31" s="7">
        <v>30</v>
      </c>
      <c r="E31" s="8" t="str">
        <f>TEXT(Table1[[#This Row],[Date]],"MMMM")</f>
        <v>January</v>
      </c>
    </row>
    <row r="32" spans="1:5" x14ac:dyDescent="0.25">
      <c r="A32" s="9">
        <v>44227</v>
      </c>
      <c r="B32" s="7">
        <v>618</v>
      </c>
      <c r="C32" s="7">
        <v>476</v>
      </c>
      <c r="D32" s="7">
        <v>31</v>
      </c>
      <c r="E32" s="8" t="str">
        <f>TEXT(Table1[[#This Row],[Date]],"MMMM")</f>
        <v>January</v>
      </c>
    </row>
    <row r="33" spans="1:5" x14ac:dyDescent="0.25">
      <c r="A33" s="9">
        <v>44228</v>
      </c>
      <c r="B33" s="7">
        <v>732</v>
      </c>
      <c r="C33" s="7">
        <v>446</v>
      </c>
      <c r="D33" s="7">
        <v>1</v>
      </c>
      <c r="E33" s="8" t="str">
        <f>TEXT(Table1[[#This Row],[Date]],"MMMM")</f>
        <v>February</v>
      </c>
    </row>
    <row r="34" spans="1:5" x14ac:dyDescent="0.25">
      <c r="A34" s="9">
        <v>44229</v>
      </c>
      <c r="B34" s="7">
        <v>771</v>
      </c>
      <c r="C34" s="7">
        <v>437</v>
      </c>
      <c r="D34" s="7">
        <v>2</v>
      </c>
      <c r="E34" s="8" t="str">
        <f>TEXT(Table1[[#This Row],[Date]],"MMMM")</f>
        <v>February</v>
      </c>
    </row>
    <row r="35" spans="1:5" x14ac:dyDescent="0.25">
      <c r="A35" s="9">
        <v>44230</v>
      </c>
      <c r="B35" s="7">
        <v>941</v>
      </c>
      <c r="C35" s="7">
        <v>251</v>
      </c>
      <c r="D35" s="7">
        <v>3</v>
      </c>
      <c r="E35" s="8" t="str">
        <f>TEXT(Table1[[#This Row],[Date]],"MMMM")</f>
        <v>February</v>
      </c>
    </row>
    <row r="36" spans="1:5" x14ac:dyDescent="0.25">
      <c r="A36" s="9">
        <v>44231</v>
      </c>
      <c r="B36" s="7">
        <v>985</v>
      </c>
      <c r="C36" s="7">
        <v>176</v>
      </c>
      <c r="D36" s="7">
        <v>4</v>
      </c>
      <c r="E36" s="8" t="str">
        <f>TEXT(Table1[[#This Row],[Date]],"MMMM")</f>
        <v>February</v>
      </c>
    </row>
    <row r="37" spans="1:5" x14ac:dyDescent="0.25">
      <c r="A37" s="9">
        <v>44232</v>
      </c>
      <c r="B37" s="7">
        <v>931</v>
      </c>
      <c r="C37" s="7">
        <v>299</v>
      </c>
      <c r="D37" s="7">
        <v>5</v>
      </c>
      <c r="E37" s="8" t="str">
        <f>TEXT(Table1[[#This Row],[Date]],"MMMM")</f>
        <v>February</v>
      </c>
    </row>
    <row r="38" spans="1:5" x14ac:dyDescent="0.25">
      <c r="A38" s="9">
        <v>44233</v>
      </c>
      <c r="B38" s="7">
        <v>770</v>
      </c>
      <c r="C38" s="7">
        <v>108</v>
      </c>
      <c r="D38" s="7">
        <v>6</v>
      </c>
      <c r="E38" s="8" t="str">
        <f>TEXT(Table1[[#This Row],[Date]],"MMMM")</f>
        <v>February</v>
      </c>
    </row>
    <row r="39" spans="1:5" x14ac:dyDescent="0.25">
      <c r="A39" s="9">
        <v>44234</v>
      </c>
      <c r="B39" s="7">
        <v>642</v>
      </c>
      <c r="C39" s="7">
        <v>222</v>
      </c>
      <c r="D39" s="7">
        <v>7</v>
      </c>
      <c r="E39" s="8" t="str">
        <f>TEXT(Table1[[#This Row],[Date]],"MMMM")</f>
        <v>February</v>
      </c>
    </row>
    <row r="40" spans="1:5" x14ac:dyDescent="0.25">
      <c r="A40" s="9">
        <v>44235</v>
      </c>
      <c r="B40" s="7">
        <v>606</v>
      </c>
      <c r="C40" s="7">
        <v>183</v>
      </c>
      <c r="D40" s="7">
        <v>8</v>
      </c>
      <c r="E40" s="8" t="str">
        <f>TEXT(Table1[[#This Row],[Date]],"MMMM")</f>
        <v>February</v>
      </c>
    </row>
    <row r="41" spans="1:5" x14ac:dyDescent="0.25">
      <c r="A41" s="9">
        <v>44236</v>
      </c>
      <c r="B41" s="7">
        <v>777</v>
      </c>
      <c r="C41" s="7">
        <v>447</v>
      </c>
      <c r="D41" s="7">
        <v>9</v>
      </c>
      <c r="E41" s="8" t="str">
        <f>TEXT(Table1[[#This Row],[Date]],"MMMM")</f>
        <v>February</v>
      </c>
    </row>
    <row r="42" spans="1:5" x14ac:dyDescent="0.25">
      <c r="A42" s="9">
        <v>44237</v>
      </c>
      <c r="B42" s="7">
        <v>851</v>
      </c>
      <c r="C42" s="7">
        <v>407</v>
      </c>
      <c r="D42" s="7">
        <v>10</v>
      </c>
      <c r="E42" s="8" t="str">
        <f>TEXT(Table1[[#This Row],[Date]],"MMMM")</f>
        <v>February</v>
      </c>
    </row>
    <row r="43" spans="1:5" x14ac:dyDescent="0.25">
      <c r="A43" s="9">
        <v>44238</v>
      </c>
      <c r="B43" s="7">
        <v>930</v>
      </c>
      <c r="C43" s="7">
        <v>452</v>
      </c>
      <c r="D43" s="7">
        <v>11</v>
      </c>
      <c r="E43" s="8" t="str">
        <f>TEXT(Table1[[#This Row],[Date]],"MMMM")</f>
        <v>February</v>
      </c>
    </row>
    <row r="44" spans="1:5" x14ac:dyDescent="0.25">
      <c r="A44" s="9">
        <v>44239</v>
      </c>
      <c r="B44" s="7">
        <v>582</v>
      </c>
      <c r="C44" s="7">
        <v>205</v>
      </c>
      <c r="D44" s="7">
        <v>12</v>
      </c>
      <c r="E44" s="8" t="str">
        <f>TEXT(Table1[[#This Row],[Date]],"MMMM")</f>
        <v>February</v>
      </c>
    </row>
    <row r="45" spans="1:5" x14ac:dyDescent="0.25">
      <c r="A45" s="9">
        <v>44240</v>
      </c>
      <c r="B45" s="7">
        <v>581</v>
      </c>
      <c r="C45" s="7">
        <v>345</v>
      </c>
      <c r="D45" s="7">
        <v>13</v>
      </c>
      <c r="E45" s="8" t="str">
        <f>TEXT(Table1[[#This Row],[Date]],"MMMM")</f>
        <v>February</v>
      </c>
    </row>
    <row r="46" spans="1:5" x14ac:dyDescent="0.25">
      <c r="A46" s="9">
        <v>44241</v>
      </c>
      <c r="B46" s="7">
        <v>735</v>
      </c>
      <c r="C46" s="7">
        <v>495</v>
      </c>
      <c r="D46" s="7">
        <v>14</v>
      </c>
      <c r="E46" s="8" t="str">
        <f>TEXT(Table1[[#This Row],[Date]],"MMMM")</f>
        <v>February</v>
      </c>
    </row>
    <row r="47" spans="1:5" x14ac:dyDescent="0.25">
      <c r="A47" s="9">
        <v>44242</v>
      </c>
      <c r="B47" s="7">
        <v>787</v>
      </c>
      <c r="C47" s="7">
        <v>283</v>
      </c>
      <c r="D47" s="7">
        <v>15</v>
      </c>
      <c r="E47" s="8" t="str">
        <f>TEXT(Table1[[#This Row],[Date]],"MMMM")</f>
        <v>February</v>
      </c>
    </row>
    <row r="48" spans="1:5" x14ac:dyDescent="0.25">
      <c r="A48" s="9">
        <v>44243</v>
      </c>
      <c r="B48" s="7">
        <v>527</v>
      </c>
      <c r="C48" s="7">
        <v>115</v>
      </c>
      <c r="D48" s="7">
        <v>16</v>
      </c>
      <c r="E48" s="8" t="str">
        <f>TEXT(Table1[[#This Row],[Date]],"MMMM")</f>
        <v>February</v>
      </c>
    </row>
    <row r="49" spans="1:5" x14ac:dyDescent="0.25">
      <c r="A49" s="9">
        <v>44244</v>
      </c>
      <c r="B49" s="7">
        <v>954</v>
      </c>
      <c r="C49" s="7">
        <v>105</v>
      </c>
      <c r="D49" s="7">
        <v>17</v>
      </c>
      <c r="E49" s="8" t="str">
        <f>TEXT(Table1[[#This Row],[Date]],"MMMM")</f>
        <v>February</v>
      </c>
    </row>
    <row r="50" spans="1:5" x14ac:dyDescent="0.25">
      <c r="A50" s="9">
        <v>44245</v>
      </c>
      <c r="B50" s="7">
        <v>851</v>
      </c>
      <c r="C50" s="7">
        <v>180</v>
      </c>
      <c r="D50" s="7">
        <v>18</v>
      </c>
      <c r="E50" s="8" t="str">
        <f>TEXT(Table1[[#This Row],[Date]],"MMMM")</f>
        <v>February</v>
      </c>
    </row>
    <row r="51" spans="1:5" x14ac:dyDescent="0.25">
      <c r="A51" s="9">
        <v>44246</v>
      </c>
      <c r="B51" s="7">
        <v>802</v>
      </c>
      <c r="C51" s="7">
        <v>490</v>
      </c>
      <c r="D51" s="7">
        <v>19</v>
      </c>
      <c r="E51" s="8" t="str">
        <f>TEXT(Table1[[#This Row],[Date]],"MMMM")</f>
        <v>February</v>
      </c>
    </row>
    <row r="52" spans="1:5" x14ac:dyDescent="0.25">
      <c r="A52" s="9">
        <v>44247</v>
      </c>
      <c r="B52" s="7">
        <v>601</v>
      </c>
      <c r="C52" s="7">
        <v>366</v>
      </c>
      <c r="D52" s="7">
        <v>20</v>
      </c>
      <c r="E52" s="8" t="str">
        <f>TEXT(Table1[[#This Row],[Date]],"MMMM")</f>
        <v>February</v>
      </c>
    </row>
    <row r="53" spans="1:5" x14ac:dyDescent="0.25">
      <c r="A53" s="9">
        <v>44248</v>
      </c>
      <c r="B53" s="7">
        <v>999</v>
      </c>
      <c r="C53" s="7">
        <v>348</v>
      </c>
      <c r="D53" s="7">
        <v>21</v>
      </c>
      <c r="E53" s="8" t="str">
        <f>TEXT(Table1[[#This Row],[Date]],"MMMM")</f>
        <v>February</v>
      </c>
    </row>
    <row r="54" spans="1:5" x14ac:dyDescent="0.25">
      <c r="A54" s="9">
        <v>44249</v>
      </c>
      <c r="B54" s="7">
        <v>837</v>
      </c>
      <c r="C54" s="7">
        <v>123</v>
      </c>
      <c r="D54" s="7">
        <v>22</v>
      </c>
      <c r="E54" s="8" t="str">
        <f>TEXT(Table1[[#This Row],[Date]],"MMMM")</f>
        <v>February</v>
      </c>
    </row>
    <row r="55" spans="1:5" x14ac:dyDescent="0.25">
      <c r="A55" s="9">
        <v>44250</v>
      </c>
      <c r="B55" s="7">
        <v>759</v>
      </c>
      <c r="C55" s="7">
        <v>435</v>
      </c>
      <c r="D55" s="7">
        <v>23</v>
      </c>
      <c r="E55" s="8" t="str">
        <f>TEXT(Table1[[#This Row],[Date]],"MMMM")</f>
        <v>February</v>
      </c>
    </row>
    <row r="56" spans="1:5" x14ac:dyDescent="0.25">
      <c r="A56" s="9">
        <v>44251</v>
      </c>
      <c r="B56" s="7">
        <v>657</v>
      </c>
      <c r="C56" s="7">
        <v>378</v>
      </c>
      <c r="D56" s="7">
        <v>24</v>
      </c>
      <c r="E56" s="8" t="str">
        <f>TEXT(Table1[[#This Row],[Date]],"MMMM")</f>
        <v>February</v>
      </c>
    </row>
    <row r="57" spans="1:5" x14ac:dyDescent="0.25">
      <c r="A57" s="9">
        <v>44252</v>
      </c>
      <c r="B57" s="7">
        <v>571</v>
      </c>
      <c r="C57" s="7">
        <v>312</v>
      </c>
      <c r="D57" s="7">
        <v>25</v>
      </c>
      <c r="E57" s="8" t="str">
        <f>TEXT(Table1[[#This Row],[Date]],"MMMM")</f>
        <v>February</v>
      </c>
    </row>
    <row r="58" spans="1:5" x14ac:dyDescent="0.25">
      <c r="A58" s="9">
        <v>44253</v>
      </c>
      <c r="B58" s="7">
        <v>796</v>
      </c>
      <c r="C58" s="7">
        <v>341</v>
      </c>
      <c r="D58" s="7">
        <v>26</v>
      </c>
      <c r="E58" s="8" t="str">
        <f>TEXT(Table1[[#This Row],[Date]],"MMMM")</f>
        <v>February</v>
      </c>
    </row>
    <row r="59" spans="1:5" x14ac:dyDescent="0.25">
      <c r="A59" s="9">
        <v>44254</v>
      </c>
      <c r="B59" s="7">
        <v>501</v>
      </c>
      <c r="C59" s="7">
        <v>309</v>
      </c>
      <c r="D59" s="7">
        <v>27</v>
      </c>
      <c r="E59" s="8" t="str">
        <f>TEXT(Table1[[#This Row],[Date]],"MMMM")</f>
        <v>February</v>
      </c>
    </row>
    <row r="60" spans="1:5" x14ac:dyDescent="0.25">
      <c r="A60" s="9">
        <v>44255</v>
      </c>
      <c r="B60" s="7">
        <v>779</v>
      </c>
      <c r="C60" s="7">
        <v>325</v>
      </c>
      <c r="D60" s="7">
        <v>28</v>
      </c>
      <c r="E60" s="8" t="str">
        <f>TEXT(Table1[[#This Row],[Date]],"MMMM")</f>
        <v>February</v>
      </c>
    </row>
    <row r="61" spans="1:5" x14ac:dyDescent="0.25">
      <c r="A61" s="9">
        <v>44256</v>
      </c>
      <c r="B61" s="7">
        <v>976</v>
      </c>
      <c r="C61" s="7">
        <v>193</v>
      </c>
      <c r="D61" s="7">
        <v>1</v>
      </c>
      <c r="E61" s="8" t="str">
        <f>TEXT(Table1[[#This Row],[Date]],"MMMM")</f>
        <v>March</v>
      </c>
    </row>
    <row r="62" spans="1:5" x14ac:dyDescent="0.25">
      <c r="A62" s="9">
        <v>44257</v>
      </c>
      <c r="B62" s="7">
        <v>658</v>
      </c>
      <c r="C62" s="7">
        <v>114</v>
      </c>
      <c r="D62" s="7">
        <v>2</v>
      </c>
      <c r="E62" s="8" t="str">
        <f>TEXT(Table1[[#This Row],[Date]],"MMMM")</f>
        <v>March</v>
      </c>
    </row>
    <row r="63" spans="1:5" x14ac:dyDescent="0.25">
      <c r="A63" s="9">
        <v>44258</v>
      </c>
      <c r="B63" s="7">
        <v>647</v>
      </c>
      <c r="C63" s="7">
        <v>256</v>
      </c>
      <c r="D63" s="7">
        <v>3</v>
      </c>
      <c r="E63" s="8" t="str">
        <f>TEXT(Table1[[#This Row],[Date]],"MMMM")</f>
        <v>March</v>
      </c>
    </row>
    <row r="64" spans="1:5" x14ac:dyDescent="0.25">
      <c r="A64" s="9">
        <v>44259</v>
      </c>
      <c r="B64" s="7">
        <v>991</v>
      </c>
      <c r="C64" s="7">
        <v>407</v>
      </c>
      <c r="D64" s="7">
        <v>4</v>
      </c>
      <c r="E64" s="8" t="str">
        <f>TEXT(Table1[[#This Row],[Date]],"MMMM")</f>
        <v>March</v>
      </c>
    </row>
    <row r="65" spans="1:5" x14ac:dyDescent="0.25">
      <c r="A65" s="9">
        <v>44260</v>
      </c>
      <c r="B65" s="7">
        <v>502</v>
      </c>
      <c r="C65" s="7">
        <v>146</v>
      </c>
      <c r="D65" s="7">
        <v>5</v>
      </c>
      <c r="E65" s="8" t="str">
        <f>TEXT(Table1[[#This Row],[Date]],"MMMM")</f>
        <v>March</v>
      </c>
    </row>
    <row r="66" spans="1:5" x14ac:dyDescent="0.25">
      <c r="A66" s="9">
        <v>44261</v>
      </c>
      <c r="B66" s="7">
        <v>770</v>
      </c>
      <c r="C66" s="7">
        <v>315</v>
      </c>
      <c r="D66" s="7">
        <v>6</v>
      </c>
      <c r="E66" s="8" t="str">
        <f>TEXT(Table1[[#This Row],[Date]],"MMMM")</f>
        <v>March</v>
      </c>
    </row>
    <row r="67" spans="1:5" x14ac:dyDescent="0.25">
      <c r="A67" s="9">
        <v>44262</v>
      </c>
      <c r="B67" s="7">
        <v>953</v>
      </c>
      <c r="C67" s="7">
        <v>499</v>
      </c>
      <c r="D67" s="7">
        <v>7</v>
      </c>
      <c r="E67" s="8" t="str">
        <f>TEXT(Table1[[#This Row],[Date]],"MMMM")</f>
        <v>March</v>
      </c>
    </row>
    <row r="68" spans="1:5" x14ac:dyDescent="0.25">
      <c r="A68" s="9">
        <v>44263</v>
      </c>
      <c r="B68" s="7">
        <v>754</v>
      </c>
      <c r="C68" s="7">
        <v>161</v>
      </c>
      <c r="D68" s="7">
        <v>8</v>
      </c>
      <c r="E68" s="8" t="str">
        <f>TEXT(Table1[[#This Row],[Date]],"MMMM")</f>
        <v>March</v>
      </c>
    </row>
    <row r="69" spans="1:5" x14ac:dyDescent="0.25">
      <c r="A69" s="9">
        <v>44264</v>
      </c>
      <c r="B69" s="7">
        <v>950</v>
      </c>
      <c r="C69" s="7">
        <v>376</v>
      </c>
      <c r="D69" s="7">
        <v>9</v>
      </c>
      <c r="E69" s="8" t="str">
        <f>TEXT(Table1[[#This Row],[Date]],"MMMM")</f>
        <v>March</v>
      </c>
    </row>
    <row r="70" spans="1:5" x14ac:dyDescent="0.25">
      <c r="A70" s="9">
        <v>44265</v>
      </c>
      <c r="B70" s="7">
        <v>613</v>
      </c>
      <c r="C70" s="7">
        <v>266</v>
      </c>
      <c r="D70" s="7">
        <v>10</v>
      </c>
      <c r="E70" s="8" t="str">
        <f>TEXT(Table1[[#This Row],[Date]],"MMMM")</f>
        <v>March</v>
      </c>
    </row>
    <row r="71" spans="1:5" x14ac:dyDescent="0.25">
      <c r="A71" s="9">
        <v>44266</v>
      </c>
      <c r="B71" s="7">
        <v>888</v>
      </c>
      <c r="C71" s="7">
        <v>373</v>
      </c>
      <c r="D71" s="7">
        <v>11</v>
      </c>
      <c r="E71" s="8" t="str">
        <f>TEXT(Table1[[#This Row],[Date]],"MMMM")</f>
        <v>March</v>
      </c>
    </row>
    <row r="72" spans="1:5" x14ac:dyDescent="0.25">
      <c r="A72" s="9">
        <v>44267</v>
      </c>
      <c r="B72" s="7">
        <v>886</v>
      </c>
      <c r="C72" s="7">
        <v>443</v>
      </c>
      <c r="D72" s="7">
        <v>12</v>
      </c>
      <c r="E72" s="8" t="str">
        <f>TEXT(Table1[[#This Row],[Date]],"MMMM")</f>
        <v>March</v>
      </c>
    </row>
    <row r="73" spans="1:5" x14ac:dyDescent="0.25">
      <c r="A73" s="9">
        <v>44268</v>
      </c>
      <c r="B73" s="7">
        <v>722</v>
      </c>
      <c r="C73" s="7">
        <v>286</v>
      </c>
      <c r="D73" s="7">
        <v>13</v>
      </c>
      <c r="E73" s="8" t="str">
        <f>TEXT(Table1[[#This Row],[Date]],"MMMM")</f>
        <v>March</v>
      </c>
    </row>
    <row r="74" spans="1:5" x14ac:dyDescent="0.25">
      <c r="A74" s="9">
        <v>44269</v>
      </c>
      <c r="B74" s="7">
        <v>550</v>
      </c>
      <c r="C74" s="7">
        <v>326</v>
      </c>
      <c r="D74" s="7">
        <v>14</v>
      </c>
      <c r="E74" s="8" t="str">
        <f>TEXT(Table1[[#This Row],[Date]],"MMMM")</f>
        <v>March</v>
      </c>
    </row>
    <row r="75" spans="1:5" x14ac:dyDescent="0.25">
      <c r="A75" s="9">
        <v>44270</v>
      </c>
      <c r="B75" s="7">
        <v>860</v>
      </c>
      <c r="C75" s="7">
        <v>222</v>
      </c>
      <c r="D75" s="7">
        <v>15</v>
      </c>
      <c r="E75" s="8" t="str">
        <f>TEXT(Table1[[#This Row],[Date]],"MMMM")</f>
        <v>March</v>
      </c>
    </row>
    <row r="76" spans="1:5" x14ac:dyDescent="0.25">
      <c r="A76" s="9">
        <v>44271</v>
      </c>
      <c r="B76" s="7">
        <v>806</v>
      </c>
      <c r="C76" s="7">
        <v>429</v>
      </c>
      <c r="D76" s="7">
        <v>16</v>
      </c>
      <c r="E76" s="8" t="str">
        <f>TEXT(Table1[[#This Row],[Date]],"MMMM")</f>
        <v>March</v>
      </c>
    </row>
    <row r="77" spans="1:5" x14ac:dyDescent="0.25">
      <c r="A77" s="9">
        <v>44272</v>
      </c>
      <c r="B77" s="7">
        <v>736</v>
      </c>
      <c r="C77" s="7">
        <v>284</v>
      </c>
      <c r="D77" s="7">
        <v>17</v>
      </c>
      <c r="E77" s="8" t="str">
        <f>TEXT(Table1[[#This Row],[Date]],"MMMM")</f>
        <v>March</v>
      </c>
    </row>
    <row r="78" spans="1:5" x14ac:dyDescent="0.25">
      <c r="A78" s="9">
        <v>44273</v>
      </c>
      <c r="B78" s="7">
        <v>945</v>
      </c>
      <c r="C78" s="7">
        <v>246</v>
      </c>
      <c r="D78" s="7">
        <v>18</v>
      </c>
      <c r="E78" s="8" t="str">
        <f>TEXT(Table1[[#This Row],[Date]],"MMMM")</f>
        <v>March</v>
      </c>
    </row>
    <row r="79" spans="1:5" x14ac:dyDescent="0.25">
      <c r="A79" s="9">
        <v>44274</v>
      </c>
      <c r="B79" s="7">
        <v>641</v>
      </c>
      <c r="C79" s="7">
        <v>352</v>
      </c>
      <c r="D79" s="7">
        <v>19</v>
      </c>
      <c r="E79" s="8" t="str">
        <f>TEXT(Table1[[#This Row],[Date]],"MMMM")</f>
        <v>March</v>
      </c>
    </row>
    <row r="80" spans="1:5" x14ac:dyDescent="0.25">
      <c r="A80" s="9">
        <v>44275</v>
      </c>
      <c r="B80" s="7">
        <v>675</v>
      </c>
      <c r="C80" s="7">
        <v>154</v>
      </c>
      <c r="D80" s="7">
        <v>20</v>
      </c>
      <c r="E80" s="8" t="str">
        <f>TEXT(Table1[[#This Row],[Date]],"MMMM")</f>
        <v>March</v>
      </c>
    </row>
    <row r="81" spans="1:5" x14ac:dyDescent="0.25">
      <c r="A81" s="9">
        <v>44276</v>
      </c>
      <c r="B81" s="7">
        <v>986</v>
      </c>
      <c r="C81" s="7">
        <v>221</v>
      </c>
      <c r="D81" s="7">
        <v>21</v>
      </c>
      <c r="E81" s="8" t="str">
        <f>TEXT(Table1[[#This Row],[Date]],"MMMM")</f>
        <v>March</v>
      </c>
    </row>
    <row r="82" spans="1:5" x14ac:dyDescent="0.25">
      <c r="A82" s="9">
        <v>44277</v>
      </c>
      <c r="B82" s="7">
        <v>980</v>
      </c>
      <c r="C82" s="7">
        <v>410</v>
      </c>
      <c r="D82" s="7">
        <v>22</v>
      </c>
      <c r="E82" s="8" t="str">
        <f>TEXT(Table1[[#This Row],[Date]],"MMMM")</f>
        <v>March</v>
      </c>
    </row>
    <row r="83" spans="1:5" x14ac:dyDescent="0.25">
      <c r="A83" s="9">
        <v>44278</v>
      </c>
      <c r="B83" s="7">
        <v>848</v>
      </c>
      <c r="C83" s="7">
        <v>306</v>
      </c>
      <c r="D83" s="7">
        <v>23</v>
      </c>
      <c r="E83" s="8" t="str">
        <f>TEXT(Table1[[#This Row],[Date]],"MMMM")</f>
        <v>March</v>
      </c>
    </row>
    <row r="84" spans="1:5" x14ac:dyDescent="0.25">
      <c r="A84" s="9">
        <v>44279</v>
      </c>
      <c r="B84" s="7">
        <v>635</v>
      </c>
      <c r="C84" s="7">
        <v>120</v>
      </c>
      <c r="D84" s="7">
        <v>24</v>
      </c>
      <c r="E84" s="8" t="str">
        <f>TEXT(Table1[[#This Row],[Date]],"MMMM")</f>
        <v>March</v>
      </c>
    </row>
    <row r="85" spans="1:5" x14ac:dyDescent="0.25">
      <c r="A85" s="9">
        <v>44280</v>
      </c>
      <c r="B85" s="7">
        <v>729</v>
      </c>
      <c r="C85" s="7">
        <v>225</v>
      </c>
      <c r="D85" s="7">
        <v>25</v>
      </c>
      <c r="E85" s="8" t="str">
        <f>TEXT(Table1[[#This Row],[Date]],"MMMM")</f>
        <v>March</v>
      </c>
    </row>
    <row r="86" spans="1:5" x14ac:dyDescent="0.25">
      <c r="A86" s="9">
        <v>44281</v>
      </c>
      <c r="B86" s="7">
        <v>737</v>
      </c>
      <c r="C86" s="7">
        <v>185</v>
      </c>
      <c r="D86" s="7">
        <v>26</v>
      </c>
      <c r="E86" s="8" t="str">
        <f>TEXT(Table1[[#This Row],[Date]],"MMMM")</f>
        <v>March</v>
      </c>
    </row>
    <row r="87" spans="1:5" x14ac:dyDescent="0.25">
      <c r="A87" s="9">
        <v>44282</v>
      </c>
      <c r="B87" s="7">
        <v>505</v>
      </c>
      <c r="C87" s="7">
        <v>407</v>
      </c>
      <c r="D87" s="7">
        <v>27</v>
      </c>
      <c r="E87" s="8" t="str">
        <f>TEXT(Table1[[#This Row],[Date]],"MMMM")</f>
        <v>March</v>
      </c>
    </row>
    <row r="88" spans="1:5" x14ac:dyDescent="0.25">
      <c r="A88" s="9">
        <v>44283</v>
      </c>
      <c r="B88" s="7">
        <v>566</v>
      </c>
      <c r="C88" s="7">
        <v>186</v>
      </c>
      <c r="D88" s="7">
        <v>28</v>
      </c>
      <c r="E88" s="8" t="str">
        <f>TEXT(Table1[[#This Row],[Date]],"MMMM")</f>
        <v>March</v>
      </c>
    </row>
    <row r="89" spans="1:5" x14ac:dyDescent="0.25">
      <c r="A89" s="9">
        <v>44284</v>
      </c>
      <c r="B89" s="7">
        <v>850</v>
      </c>
      <c r="C89" s="7">
        <v>483</v>
      </c>
      <c r="D89" s="7">
        <v>29</v>
      </c>
      <c r="E89" s="8" t="str">
        <f>TEXT(Table1[[#This Row],[Date]],"MMMM")</f>
        <v>March</v>
      </c>
    </row>
    <row r="90" spans="1:5" x14ac:dyDescent="0.25">
      <c r="A90" s="9">
        <v>44285</v>
      </c>
      <c r="B90" s="7">
        <v>554</v>
      </c>
      <c r="C90" s="7">
        <v>167</v>
      </c>
      <c r="D90" s="7">
        <v>30</v>
      </c>
      <c r="E90" s="8" t="str">
        <f>TEXT(Table1[[#This Row],[Date]],"MMMM")</f>
        <v>March</v>
      </c>
    </row>
    <row r="91" spans="1:5" x14ac:dyDescent="0.25">
      <c r="A91" s="9">
        <v>44286</v>
      </c>
      <c r="B91" s="7">
        <v>675</v>
      </c>
      <c r="C91" s="7">
        <v>207</v>
      </c>
      <c r="D91" s="7">
        <v>31</v>
      </c>
      <c r="E91" s="8" t="str">
        <f>TEXT(Table1[[#This Row],[Date]],"MMMM")</f>
        <v>March</v>
      </c>
    </row>
    <row r="92" spans="1:5" x14ac:dyDescent="0.25">
      <c r="A92" s="9">
        <v>44287</v>
      </c>
      <c r="B92" s="7">
        <v>796</v>
      </c>
      <c r="C92" s="7">
        <v>456</v>
      </c>
      <c r="D92" s="7">
        <v>1</v>
      </c>
      <c r="E92" s="8" t="str">
        <f>TEXT(Table1[[#This Row],[Date]],"MMMM")</f>
        <v>April</v>
      </c>
    </row>
    <row r="93" spans="1:5" x14ac:dyDescent="0.25">
      <c r="A93" s="9">
        <v>44288</v>
      </c>
      <c r="B93" s="7">
        <v>727</v>
      </c>
      <c r="C93" s="7">
        <v>239</v>
      </c>
      <c r="D93" s="7">
        <v>2</v>
      </c>
      <c r="E93" s="8" t="str">
        <f>TEXT(Table1[[#This Row],[Date]],"MMMM")</f>
        <v>April</v>
      </c>
    </row>
    <row r="94" spans="1:5" x14ac:dyDescent="0.25">
      <c r="A94" s="9">
        <v>44289</v>
      </c>
      <c r="B94" s="7">
        <v>806</v>
      </c>
      <c r="C94" s="7">
        <v>352</v>
      </c>
      <c r="D94" s="7">
        <v>3</v>
      </c>
      <c r="E94" s="8" t="str">
        <f>TEXT(Table1[[#This Row],[Date]],"MMMM")</f>
        <v>April</v>
      </c>
    </row>
    <row r="95" spans="1:5" x14ac:dyDescent="0.25">
      <c r="A95" s="9">
        <v>44290</v>
      </c>
      <c r="B95" s="7">
        <v>560</v>
      </c>
      <c r="C95" s="7">
        <v>240</v>
      </c>
      <c r="D95" s="7">
        <v>4</v>
      </c>
      <c r="E95" s="8" t="str">
        <f>TEXT(Table1[[#This Row],[Date]],"MMMM")</f>
        <v>April</v>
      </c>
    </row>
    <row r="96" spans="1:5" x14ac:dyDescent="0.25">
      <c r="A96" s="9">
        <v>44291</v>
      </c>
      <c r="B96" s="7">
        <v>996</v>
      </c>
      <c r="C96" s="7">
        <v>432</v>
      </c>
      <c r="D96" s="7">
        <v>5</v>
      </c>
      <c r="E96" s="8" t="str">
        <f>TEXT(Table1[[#This Row],[Date]],"MMMM")</f>
        <v>April</v>
      </c>
    </row>
    <row r="97" spans="1:5" x14ac:dyDescent="0.25">
      <c r="A97" s="9">
        <v>44292</v>
      </c>
      <c r="B97" s="7">
        <v>669</v>
      </c>
      <c r="C97" s="7">
        <v>205</v>
      </c>
      <c r="D97" s="7">
        <v>6</v>
      </c>
      <c r="E97" s="8" t="str">
        <f>TEXT(Table1[[#This Row],[Date]],"MMMM")</f>
        <v>April</v>
      </c>
    </row>
    <row r="98" spans="1:5" x14ac:dyDescent="0.25">
      <c r="A98" s="9">
        <v>44293</v>
      </c>
      <c r="B98" s="7">
        <v>998</v>
      </c>
      <c r="C98" s="7">
        <v>117</v>
      </c>
      <c r="D98" s="7">
        <v>7</v>
      </c>
      <c r="E98" s="8" t="str">
        <f>TEXT(Table1[[#This Row],[Date]],"MMMM")</f>
        <v>April</v>
      </c>
    </row>
    <row r="99" spans="1:5" x14ac:dyDescent="0.25">
      <c r="A99" s="9">
        <v>44294</v>
      </c>
      <c r="B99" s="7">
        <v>512</v>
      </c>
      <c r="C99" s="7">
        <v>221</v>
      </c>
      <c r="D99" s="7">
        <v>8</v>
      </c>
      <c r="E99" s="8" t="str">
        <f>TEXT(Table1[[#This Row],[Date]],"MMMM")</f>
        <v>April</v>
      </c>
    </row>
    <row r="100" spans="1:5" x14ac:dyDescent="0.25">
      <c r="A100" s="9">
        <v>44295</v>
      </c>
      <c r="B100" s="7">
        <v>893</v>
      </c>
      <c r="C100" s="7">
        <v>175</v>
      </c>
      <c r="D100" s="7">
        <v>9</v>
      </c>
      <c r="E100" s="8" t="str">
        <f>TEXT(Table1[[#This Row],[Date]],"MMMM")</f>
        <v>April</v>
      </c>
    </row>
    <row r="101" spans="1:5" x14ac:dyDescent="0.25">
      <c r="A101" s="9">
        <v>44296</v>
      </c>
      <c r="B101" s="7">
        <v>797</v>
      </c>
      <c r="C101" s="7">
        <v>288</v>
      </c>
      <c r="D101" s="7">
        <v>10</v>
      </c>
      <c r="E101" s="8" t="str">
        <f>TEXT(Table1[[#This Row],[Date]],"MMMM")</f>
        <v>April</v>
      </c>
    </row>
    <row r="102" spans="1:5" x14ac:dyDescent="0.25">
      <c r="A102" s="9">
        <v>44297</v>
      </c>
      <c r="B102" s="7">
        <v>663</v>
      </c>
      <c r="C102" s="7">
        <v>452</v>
      </c>
      <c r="D102" s="7">
        <v>11</v>
      </c>
      <c r="E102" s="8" t="str">
        <f>TEXT(Table1[[#This Row],[Date]],"MMMM")</f>
        <v>April</v>
      </c>
    </row>
    <row r="103" spans="1:5" x14ac:dyDescent="0.25">
      <c r="A103" s="9">
        <v>44298</v>
      </c>
      <c r="B103" s="7">
        <v>554</v>
      </c>
      <c r="C103" s="7">
        <v>491</v>
      </c>
      <c r="D103" s="7">
        <v>12</v>
      </c>
      <c r="E103" s="8" t="str">
        <f>TEXT(Table1[[#This Row],[Date]],"MMMM")</f>
        <v>April</v>
      </c>
    </row>
    <row r="104" spans="1:5" x14ac:dyDescent="0.25">
      <c r="A104" s="9">
        <v>44299</v>
      </c>
      <c r="B104" s="7">
        <v>703</v>
      </c>
      <c r="C104" s="7">
        <v>260</v>
      </c>
      <c r="D104" s="7">
        <v>13</v>
      </c>
      <c r="E104" s="8" t="str">
        <f>TEXT(Table1[[#This Row],[Date]],"MMMM")</f>
        <v>April</v>
      </c>
    </row>
    <row r="105" spans="1:5" x14ac:dyDescent="0.25">
      <c r="A105" s="9">
        <v>44300</v>
      </c>
      <c r="B105" s="7">
        <v>857</v>
      </c>
      <c r="C105" s="7">
        <v>358</v>
      </c>
      <c r="D105" s="7">
        <v>14</v>
      </c>
      <c r="E105" s="8" t="str">
        <f>TEXT(Table1[[#This Row],[Date]],"MMMM")</f>
        <v>April</v>
      </c>
    </row>
    <row r="106" spans="1:5" x14ac:dyDescent="0.25">
      <c r="A106" s="9">
        <v>44301</v>
      </c>
      <c r="B106" s="7">
        <v>664</v>
      </c>
      <c r="C106" s="7">
        <v>460</v>
      </c>
      <c r="D106" s="7">
        <v>15</v>
      </c>
      <c r="E106" s="8" t="str">
        <f>TEXT(Table1[[#This Row],[Date]],"MMMM")</f>
        <v>April</v>
      </c>
    </row>
    <row r="107" spans="1:5" x14ac:dyDescent="0.25">
      <c r="A107" s="9">
        <v>44302</v>
      </c>
      <c r="B107" s="7">
        <v>962</v>
      </c>
      <c r="C107" s="7">
        <v>273</v>
      </c>
      <c r="D107" s="7">
        <v>16</v>
      </c>
      <c r="E107" s="8" t="str">
        <f>TEXT(Table1[[#This Row],[Date]],"MMMM")</f>
        <v>April</v>
      </c>
    </row>
    <row r="108" spans="1:5" x14ac:dyDescent="0.25">
      <c r="A108" s="9">
        <v>44303</v>
      </c>
      <c r="B108" s="7">
        <v>590</v>
      </c>
      <c r="C108" s="7">
        <v>280</v>
      </c>
      <c r="D108" s="7">
        <v>17</v>
      </c>
      <c r="E108" s="8" t="str">
        <f>TEXT(Table1[[#This Row],[Date]],"MMMM")</f>
        <v>April</v>
      </c>
    </row>
    <row r="109" spans="1:5" x14ac:dyDescent="0.25">
      <c r="A109" s="9">
        <v>44304</v>
      </c>
      <c r="B109" s="7">
        <v>613</v>
      </c>
      <c r="C109" s="7">
        <v>491</v>
      </c>
      <c r="D109" s="7">
        <v>18</v>
      </c>
      <c r="E109" s="8" t="str">
        <f>TEXT(Table1[[#This Row],[Date]],"MMMM")</f>
        <v>April</v>
      </c>
    </row>
    <row r="110" spans="1:5" x14ac:dyDescent="0.25">
      <c r="A110" s="9">
        <v>44305</v>
      </c>
      <c r="B110" s="7">
        <v>914</v>
      </c>
      <c r="C110" s="7">
        <v>249</v>
      </c>
      <c r="D110" s="7">
        <v>19</v>
      </c>
      <c r="E110" s="8" t="str">
        <f>TEXT(Table1[[#This Row],[Date]],"MMMM")</f>
        <v>April</v>
      </c>
    </row>
    <row r="111" spans="1:5" x14ac:dyDescent="0.25">
      <c r="A111" s="9">
        <v>44306</v>
      </c>
      <c r="B111" s="7">
        <v>549</v>
      </c>
      <c r="C111" s="7">
        <v>158</v>
      </c>
      <c r="D111" s="7">
        <v>20</v>
      </c>
      <c r="E111" s="8" t="str">
        <f>TEXT(Table1[[#This Row],[Date]],"MMMM")</f>
        <v>April</v>
      </c>
    </row>
    <row r="112" spans="1:5" x14ac:dyDescent="0.25">
      <c r="A112" s="9">
        <v>44307</v>
      </c>
      <c r="B112" s="7">
        <v>516</v>
      </c>
      <c r="C112" s="7">
        <v>201</v>
      </c>
      <c r="D112" s="7">
        <v>21</v>
      </c>
      <c r="E112" s="8" t="str">
        <f>TEXT(Table1[[#This Row],[Date]],"MMMM")</f>
        <v>April</v>
      </c>
    </row>
    <row r="113" spans="1:5" x14ac:dyDescent="0.25">
      <c r="A113" s="9">
        <v>44308</v>
      </c>
      <c r="B113" s="7">
        <v>803</v>
      </c>
      <c r="C113" s="7">
        <v>265</v>
      </c>
      <c r="D113" s="7">
        <v>22</v>
      </c>
      <c r="E113" s="8" t="str">
        <f>TEXT(Table1[[#This Row],[Date]],"MMMM")</f>
        <v>April</v>
      </c>
    </row>
    <row r="114" spans="1:5" x14ac:dyDescent="0.25">
      <c r="A114" s="9">
        <v>44309</v>
      </c>
      <c r="B114" s="7">
        <v>802</v>
      </c>
      <c r="C114" s="7">
        <v>411</v>
      </c>
      <c r="D114" s="7">
        <v>23</v>
      </c>
      <c r="E114" s="8" t="str">
        <f>TEXT(Table1[[#This Row],[Date]],"MMMM")</f>
        <v>April</v>
      </c>
    </row>
    <row r="115" spans="1:5" x14ac:dyDescent="0.25">
      <c r="A115" s="9">
        <v>44310</v>
      </c>
      <c r="B115" s="7">
        <v>986</v>
      </c>
      <c r="C115" s="7">
        <v>105</v>
      </c>
      <c r="D115" s="7">
        <v>24</v>
      </c>
      <c r="E115" s="8" t="str">
        <f>TEXT(Table1[[#This Row],[Date]],"MMMM")</f>
        <v>April</v>
      </c>
    </row>
    <row r="116" spans="1:5" x14ac:dyDescent="0.25">
      <c r="A116" s="9">
        <v>44311</v>
      </c>
      <c r="B116" s="7">
        <v>568</v>
      </c>
      <c r="C116" s="7">
        <v>174</v>
      </c>
      <c r="D116" s="7">
        <v>25</v>
      </c>
      <c r="E116" s="8" t="str">
        <f>TEXT(Table1[[#This Row],[Date]],"MMMM")</f>
        <v>April</v>
      </c>
    </row>
    <row r="117" spans="1:5" x14ac:dyDescent="0.25">
      <c r="A117" s="9">
        <v>44312</v>
      </c>
      <c r="B117" s="7">
        <v>638</v>
      </c>
      <c r="C117" s="7">
        <v>346</v>
      </c>
      <c r="D117" s="7">
        <v>26</v>
      </c>
      <c r="E117" s="8" t="str">
        <f>TEXT(Table1[[#This Row],[Date]],"MMMM")</f>
        <v>April</v>
      </c>
    </row>
    <row r="118" spans="1:5" x14ac:dyDescent="0.25">
      <c r="A118" s="9">
        <v>44313</v>
      </c>
      <c r="B118" s="7">
        <v>712</v>
      </c>
      <c r="C118" s="7">
        <v>233</v>
      </c>
      <c r="D118" s="7">
        <v>27</v>
      </c>
      <c r="E118" s="8" t="str">
        <f>TEXT(Table1[[#This Row],[Date]],"MMMM")</f>
        <v>April</v>
      </c>
    </row>
    <row r="119" spans="1:5" x14ac:dyDescent="0.25">
      <c r="A119" s="9">
        <v>44314</v>
      </c>
      <c r="B119" s="7">
        <v>789</v>
      </c>
      <c r="C119" s="7">
        <v>182</v>
      </c>
      <c r="D119" s="7">
        <v>28</v>
      </c>
      <c r="E119" s="8" t="str">
        <f>TEXT(Table1[[#This Row],[Date]],"MMMM")</f>
        <v>April</v>
      </c>
    </row>
    <row r="120" spans="1:5" x14ac:dyDescent="0.25">
      <c r="A120" s="9">
        <v>44315</v>
      </c>
      <c r="B120" s="7">
        <v>820</v>
      </c>
      <c r="C120" s="7">
        <v>123</v>
      </c>
      <c r="D120" s="7">
        <v>29</v>
      </c>
      <c r="E120" s="8" t="str">
        <f>TEXT(Table1[[#This Row],[Date]],"MMMM")</f>
        <v>April</v>
      </c>
    </row>
    <row r="121" spans="1:5" x14ac:dyDescent="0.25">
      <c r="A121" s="9">
        <v>44316</v>
      </c>
      <c r="B121" s="7">
        <v>569</v>
      </c>
      <c r="C121" s="7">
        <v>410</v>
      </c>
      <c r="D121" s="7">
        <v>30</v>
      </c>
      <c r="E121" s="8" t="str">
        <f>TEXT(Table1[[#This Row],[Date]],"MMMM")</f>
        <v>April</v>
      </c>
    </row>
    <row r="122" spans="1:5" x14ac:dyDescent="0.25">
      <c r="A122" s="9">
        <v>44317</v>
      </c>
      <c r="B122" s="7">
        <v>897</v>
      </c>
      <c r="C122" s="7">
        <v>309</v>
      </c>
      <c r="D122" s="7">
        <v>1</v>
      </c>
      <c r="E122" s="8" t="str">
        <f>TEXT(Table1[[#This Row],[Date]],"MMMM")</f>
        <v>May</v>
      </c>
    </row>
    <row r="123" spans="1:5" x14ac:dyDescent="0.25">
      <c r="A123" s="9">
        <v>44318</v>
      </c>
      <c r="B123" s="7">
        <v>527</v>
      </c>
      <c r="C123" s="7">
        <v>430</v>
      </c>
      <c r="D123" s="7">
        <v>2</v>
      </c>
      <c r="E123" s="8" t="str">
        <f>TEXT(Table1[[#This Row],[Date]],"MMMM")</f>
        <v>May</v>
      </c>
    </row>
    <row r="124" spans="1:5" x14ac:dyDescent="0.25">
      <c r="A124" s="9">
        <v>44319</v>
      </c>
      <c r="B124" s="7">
        <v>798</v>
      </c>
      <c r="C124" s="7">
        <v>288</v>
      </c>
      <c r="D124" s="7">
        <v>3</v>
      </c>
      <c r="E124" s="8" t="str">
        <f>TEXT(Table1[[#This Row],[Date]],"MMMM")</f>
        <v>May</v>
      </c>
    </row>
    <row r="125" spans="1:5" x14ac:dyDescent="0.25">
      <c r="A125" s="9">
        <v>44320</v>
      </c>
      <c r="B125" s="7">
        <v>695</v>
      </c>
      <c r="C125" s="7">
        <v>207</v>
      </c>
      <c r="D125" s="7">
        <v>4</v>
      </c>
      <c r="E125" s="8" t="str">
        <f>TEXT(Table1[[#This Row],[Date]],"MMMM")</f>
        <v>May</v>
      </c>
    </row>
    <row r="126" spans="1:5" x14ac:dyDescent="0.25">
      <c r="A126" s="9">
        <v>44321</v>
      </c>
      <c r="B126" s="7">
        <v>871</v>
      </c>
      <c r="C126" s="7">
        <v>313</v>
      </c>
      <c r="D126" s="7">
        <v>5</v>
      </c>
      <c r="E126" s="8" t="str">
        <f>TEXT(Table1[[#This Row],[Date]],"MMMM")</f>
        <v>May</v>
      </c>
    </row>
    <row r="127" spans="1:5" x14ac:dyDescent="0.25">
      <c r="A127" s="9">
        <v>44322</v>
      </c>
      <c r="B127" s="7">
        <v>660</v>
      </c>
      <c r="C127" s="7">
        <v>238</v>
      </c>
      <c r="D127" s="7">
        <v>6</v>
      </c>
      <c r="E127" s="8" t="str">
        <f>TEXT(Table1[[#This Row],[Date]],"MMMM")</f>
        <v>May</v>
      </c>
    </row>
    <row r="128" spans="1:5" x14ac:dyDescent="0.25">
      <c r="A128" s="9">
        <v>44323</v>
      </c>
      <c r="B128" s="7">
        <v>818</v>
      </c>
      <c r="C128" s="7">
        <v>419</v>
      </c>
      <c r="D128" s="7">
        <v>7</v>
      </c>
      <c r="E128" s="8" t="str">
        <f>TEXT(Table1[[#This Row],[Date]],"MMMM")</f>
        <v>May</v>
      </c>
    </row>
    <row r="129" spans="1:5" x14ac:dyDescent="0.25">
      <c r="A129" s="9">
        <v>44324</v>
      </c>
      <c r="B129" s="7">
        <v>946</v>
      </c>
      <c r="C129" s="7">
        <v>256</v>
      </c>
      <c r="D129" s="7">
        <v>8</v>
      </c>
      <c r="E129" s="8" t="str">
        <f>TEXT(Table1[[#This Row],[Date]],"MMMM")</f>
        <v>May</v>
      </c>
    </row>
    <row r="130" spans="1:5" x14ac:dyDescent="0.25">
      <c r="A130" s="9">
        <v>44325</v>
      </c>
      <c r="B130" s="7">
        <v>570</v>
      </c>
      <c r="C130" s="7">
        <v>355</v>
      </c>
      <c r="D130" s="7">
        <v>9</v>
      </c>
      <c r="E130" s="8" t="str">
        <f>TEXT(Table1[[#This Row],[Date]],"MMMM")</f>
        <v>May</v>
      </c>
    </row>
    <row r="131" spans="1:5" x14ac:dyDescent="0.25">
      <c r="A131" s="9">
        <v>44326</v>
      </c>
      <c r="B131" s="7">
        <v>666</v>
      </c>
      <c r="C131" s="7">
        <v>206</v>
      </c>
      <c r="D131" s="7">
        <v>10</v>
      </c>
      <c r="E131" s="8" t="str">
        <f>TEXT(Table1[[#This Row],[Date]],"MMMM")</f>
        <v>May</v>
      </c>
    </row>
    <row r="132" spans="1:5" x14ac:dyDescent="0.25">
      <c r="A132" s="9">
        <v>44327</v>
      </c>
      <c r="B132" s="7">
        <v>778</v>
      </c>
      <c r="C132" s="7">
        <v>170</v>
      </c>
      <c r="D132" s="7">
        <v>11</v>
      </c>
      <c r="E132" s="8" t="str">
        <f>TEXT(Table1[[#This Row],[Date]],"MMMM")</f>
        <v>May</v>
      </c>
    </row>
    <row r="133" spans="1:5" x14ac:dyDescent="0.25">
      <c r="A133" s="9">
        <v>44328</v>
      </c>
      <c r="B133" s="7">
        <v>718</v>
      </c>
      <c r="C133" s="7">
        <v>126</v>
      </c>
      <c r="D133" s="7">
        <v>12</v>
      </c>
      <c r="E133" s="8" t="str">
        <f>TEXT(Table1[[#This Row],[Date]],"MMMM")</f>
        <v>May</v>
      </c>
    </row>
    <row r="134" spans="1:5" x14ac:dyDescent="0.25">
      <c r="A134" s="9">
        <v>44329</v>
      </c>
      <c r="B134" s="7">
        <v>566</v>
      </c>
      <c r="C134" s="7">
        <v>426</v>
      </c>
      <c r="D134" s="7">
        <v>13</v>
      </c>
      <c r="E134" s="8" t="str">
        <f>TEXT(Table1[[#This Row],[Date]],"MMMM")</f>
        <v>May</v>
      </c>
    </row>
    <row r="135" spans="1:5" x14ac:dyDescent="0.25">
      <c r="A135" s="9">
        <v>44330</v>
      </c>
      <c r="B135" s="7">
        <v>940</v>
      </c>
      <c r="C135" s="7">
        <v>326</v>
      </c>
      <c r="D135" s="7">
        <v>14</v>
      </c>
      <c r="E135" s="8" t="str">
        <f>TEXT(Table1[[#This Row],[Date]],"MMMM")</f>
        <v>May</v>
      </c>
    </row>
    <row r="136" spans="1:5" x14ac:dyDescent="0.25">
      <c r="A136" s="9">
        <v>44331</v>
      </c>
      <c r="B136" s="7">
        <v>646</v>
      </c>
      <c r="C136" s="7">
        <v>341</v>
      </c>
      <c r="D136" s="7">
        <v>15</v>
      </c>
      <c r="E136" s="8" t="str">
        <f>TEXT(Table1[[#This Row],[Date]],"MMMM")</f>
        <v>May</v>
      </c>
    </row>
    <row r="137" spans="1:5" x14ac:dyDescent="0.25">
      <c r="A137" s="9">
        <v>44332</v>
      </c>
      <c r="B137" s="7">
        <v>667</v>
      </c>
      <c r="C137" s="7">
        <v>439</v>
      </c>
      <c r="D137" s="7">
        <v>16</v>
      </c>
      <c r="E137" s="8" t="str">
        <f>TEXT(Table1[[#This Row],[Date]],"MMMM")</f>
        <v>May</v>
      </c>
    </row>
    <row r="138" spans="1:5" x14ac:dyDescent="0.25">
      <c r="A138" s="9">
        <v>44333</v>
      </c>
      <c r="B138" s="7">
        <v>912</v>
      </c>
      <c r="C138" s="7">
        <v>275</v>
      </c>
      <c r="D138" s="7">
        <v>17</v>
      </c>
      <c r="E138" s="8" t="str">
        <f>TEXT(Table1[[#This Row],[Date]],"MMMM")</f>
        <v>May</v>
      </c>
    </row>
    <row r="139" spans="1:5" x14ac:dyDescent="0.25">
      <c r="A139" s="9">
        <v>44334</v>
      </c>
      <c r="B139" s="7">
        <v>624</v>
      </c>
      <c r="C139" s="7">
        <v>329</v>
      </c>
      <c r="D139" s="7">
        <v>18</v>
      </c>
      <c r="E139" s="8" t="str">
        <f>TEXT(Table1[[#This Row],[Date]],"MMMM")</f>
        <v>May</v>
      </c>
    </row>
    <row r="140" spans="1:5" x14ac:dyDescent="0.25">
      <c r="A140" s="9">
        <v>44335</v>
      </c>
      <c r="B140" s="7">
        <v>658</v>
      </c>
      <c r="C140" s="7">
        <v>133</v>
      </c>
      <c r="D140" s="7">
        <v>19</v>
      </c>
      <c r="E140" s="8" t="str">
        <f>TEXT(Table1[[#This Row],[Date]],"MMMM")</f>
        <v>May</v>
      </c>
    </row>
    <row r="141" spans="1:5" x14ac:dyDescent="0.25">
      <c r="A141" s="9">
        <v>44336</v>
      </c>
      <c r="B141" s="7">
        <v>616</v>
      </c>
      <c r="C141" s="7">
        <v>491</v>
      </c>
      <c r="D141" s="7">
        <v>20</v>
      </c>
      <c r="E141" s="8" t="str">
        <f>TEXT(Table1[[#This Row],[Date]],"MMMM")</f>
        <v>May</v>
      </c>
    </row>
    <row r="142" spans="1:5" x14ac:dyDescent="0.25">
      <c r="A142" s="9">
        <v>44337</v>
      </c>
      <c r="B142" s="7">
        <v>934</v>
      </c>
      <c r="C142" s="7">
        <v>151</v>
      </c>
      <c r="D142" s="7">
        <v>21</v>
      </c>
      <c r="E142" s="8" t="str">
        <f>TEXT(Table1[[#This Row],[Date]],"MMMM")</f>
        <v>May</v>
      </c>
    </row>
    <row r="143" spans="1:5" x14ac:dyDescent="0.25">
      <c r="A143" s="9">
        <v>44338</v>
      </c>
      <c r="B143" s="7">
        <v>897</v>
      </c>
      <c r="C143" s="7">
        <v>101</v>
      </c>
      <c r="D143" s="7">
        <v>22</v>
      </c>
      <c r="E143" s="8" t="str">
        <f>TEXT(Table1[[#This Row],[Date]],"MMMM")</f>
        <v>May</v>
      </c>
    </row>
    <row r="144" spans="1:5" x14ac:dyDescent="0.25">
      <c r="A144" s="9">
        <v>44339</v>
      </c>
      <c r="B144" s="7">
        <v>791</v>
      </c>
      <c r="C144" s="7">
        <v>416</v>
      </c>
      <c r="D144" s="7">
        <v>23</v>
      </c>
      <c r="E144" s="8" t="str">
        <f>TEXT(Table1[[#This Row],[Date]],"MMMM")</f>
        <v>May</v>
      </c>
    </row>
    <row r="145" spans="1:5" x14ac:dyDescent="0.25">
      <c r="A145" s="9">
        <v>44340</v>
      </c>
      <c r="B145" s="7">
        <v>737</v>
      </c>
      <c r="C145" s="7">
        <v>339</v>
      </c>
      <c r="D145" s="7">
        <v>24</v>
      </c>
      <c r="E145" s="8" t="str">
        <f>TEXT(Table1[[#This Row],[Date]],"MMMM")</f>
        <v>May</v>
      </c>
    </row>
    <row r="146" spans="1:5" x14ac:dyDescent="0.25">
      <c r="A146" s="9">
        <v>44341</v>
      </c>
      <c r="B146" s="7">
        <v>891</v>
      </c>
      <c r="C146" s="7">
        <v>233</v>
      </c>
      <c r="D146" s="7">
        <v>25</v>
      </c>
      <c r="E146" s="8" t="str">
        <f>TEXT(Table1[[#This Row],[Date]],"MMMM")</f>
        <v>May</v>
      </c>
    </row>
    <row r="147" spans="1:5" x14ac:dyDescent="0.25">
      <c r="A147" s="9">
        <v>44342</v>
      </c>
      <c r="B147" s="7">
        <v>805</v>
      </c>
      <c r="C147" s="7">
        <v>113</v>
      </c>
      <c r="D147" s="7">
        <v>26</v>
      </c>
      <c r="E147" s="8" t="str">
        <f>TEXT(Table1[[#This Row],[Date]],"MMMM")</f>
        <v>May</v>
      </c>
    </row>
    <row r="148" spans="1:5" x14ac:dyDescent="0.25">
      <c r="A148" s="9">
        <v>44343</v>
      </c>
      <c r="B148" s="7">
        <v>675</v>
      </c>
      <c r="C148" s="7">
        <v>110</v>
      </c>
      <c r="D148" s="7">
        <v>27</v>
      </c>
      <c r="E148" s="8" t="str">
        <f>TEXT(Table1[[#This Row],[Date]],"MMMM")</f>
        <v>May</v>
      </c>
    </row>
    <row r="149" spans="1:5" x14ac:dyDescent="0.25">
      <c r="A149" s="9">
        <v>44344</v>
      </c>
      <c r="B149" s="7">
        <v>959</v>
      </c>
      <c r="C149" s="7">
        <v>272</v>
      </c>
      <c r="D149" s="7">
        <v>28</v>
      </c>
      <c r="E149" s="8" t="str">
        <f>TEXT(Table1[[#This Row],[Date]],"MMMM")</f>
        <v>May</v>
      </c>
    </row>
    <row r="150" spans="1:5" x14ac:dyDescent="0.25">
      <c r="A150" s="9">
        <v>44345</v>
      </c>
      <c r="B150" s="7">
        <v>553</v>
      </c>
      <c r="C150" s="7">
        <v>489</v>
      </c>
      <c r="D150" s="7">
        <v>29</v>
      </c>
      <c r="E150" s="8" t="str">
        <f>TEXT(Table1[[#This Row],[Date]],"MMMM")</f>
        <v>May</v>
      </c>
    </row>
    <row r="151" spans="1:5" x14ac:dyDescent="0.25">
      <c r="A151" s="9">
        <v>44346</v>
      </c>
      <c r="B151" s="7">
        <v>855</v>
      </c>
      <c r="C151" s="7">
        <v>370</v>
      </c>
      <c r="D151" s="7">
        <v>30</v>
      </c>
      <c r="E151" s="8" t="str">
        <f>TEXT(Table1[[#This Row],[Date]],"MMMM")</f>
        <v>May</v>
      </c>
    </row>
    <row r="152" spans="1:5" x14ac:dyDescent="0.25">
      <c r="A152" s="9">
        <v>44347</v>
      </c>
      <c r="B152" s="7">
        <v>580</v>
      </c>
      <c r="C152" s="7">
        <v>444</v>
      </c>
      <c r="D152" s="7">
        <v>31</v>
      </c>
      <c r="E152" s="8" t="str">
        <f>TEXT(Table1[[#This Row],[Date]],"MMMM")</f>
        <v>May</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EF6FE-0598-43B4-908D-46C4D0C19086}">
  <dimension ref="B4:K179"/>
  <sheetViews>
    <sheetView topLeftCell="A12" zoomScale="79" workbookViewId="0">
      <selection activeCell="H24" sqref="H24"/>
    </sheetView>
  </sheetViews>
  <sheetFormatPr defaultRowHeight="15" x14ac:dyDescent="0.25"/>
  <cols>
    <col min="2" max="2" width="14.28515625" bestFit="1" customWidth="1"/>
    <col min="3" max="3" width="16.42578125" bestFit="1" customWidth="1"/>
    <col min="4" max="4" width="12.85546875" bestFit="1" customWidth="1"/>
    <col min="5" max="5" width="23.7109375" bestFit="1" customWidth="1"/>
    <col min="6" max="6" width="17.5703125" bestFit="1" customWidth="1"/>
    <col min="7" max="7" width="9.85546875" bestFit="1" customWidth="1"/>
    <col min="8" max="8" width="16.42578125" bestFit="1" customWidth="1"/>
    <col min="9" max="9" width="14.28515625" bestFit="1" customWidth="1"/>
    <col min="10" max="10" width="9.85546875" bestFit="1" customWidth="1"/>
    <col min="11" max="11" width="16.42578125" bestFit="1" customWidth="1"/>
  </cols>
  <sheetData>
    <row r="4" spans="2:3" x14ac:dyDescent="0.25">
      <c r="B4" s="1" t="s">
        <v>1</v>
      </c>
      <c r="C4" t="s">
        <v>12</v>
      </c>
    </row>
    <row r="5" spans="2:3" x14ac:dyDescent="0.25">
      <c r="B5" s="4" t="s">
        <v>13</v>
      </c>
      <c r="C5" s="6">
        <v>0.42855269484635222</v>
      </c>
    </row>
    <row r="6" spans="2:3" x14ac:dyDescent="0.25">
      <c r="B6" s="4" t="s">
        <v>14</v>
      </c>
      <c r="C6" s="6">
        <v>0.40381086803105154</v>
      </c>
    </row>
    <row r="7" spans="2:3" x14ac:dyDescent="0.25">
      <c r="B7" s="4" t="s">
        <v>15</v>
      </c>
      <c r="C7" s="6">
        <v>0.37158724775309482</v>
      </c>
    </row>
    <row r="8" spans="2:3" x14ac:dyDescent="0.25">
      <c r="B8" s="4" t="s">
        <v>16</v>
      </c>
      <c r="C8" s="6">
        <v>0.39258149459729413</v>
      </c>
    </row>
    <row r="9" spans="2:3" x14ac:dyDescent="0.25">
      <c r="B9" s="4" t="s">
        <v>11</v>
      </c>
      <c r="C9" s="6">
        <v>0.39204301075268816</v>
      </c>
    </row>
    <row r="10" spans="2:3" x14ac:dyDescent="0.25">
      <c r="B10" s="4" t="s">
        <v>2</v>
      </c>
      <c r="C10" s="6">
        <v>0.3974830967467875</v>
      </c>
    </row>
    <row r="22" spans="2:11" x14ac:dyDescent="0.25">
      <c r="I22" s="1" t="s">
        <v>1</v>
      </c>
      <c r="J22" t="s">
        <v>170</v>
      </c>
      <c r="K22" t="s">
        <v>19</v>
      </c>
    </row>
    <row r="23" spans="2:11" x14ac:dyDescent="0.25">
      <c r="B23" s="1" t="s">
        <v>1</v>
      </c>
      <c r="C23" t="s">
        <v>19</v>
      </c>
      <c r="D23" t="s">
        <v>17</v>
      </c>
      <c r="E23" t="s">
        <v>12</v>
      </c>
      <c r="F23" t="s">
        <v>171</v>
      </c>
      <c r="I23" s="4" t="s">
        <v>13</v>
      </c>
      <c r="J23" s="6"/>
      <c r="K23" s="6"/>
    </row>
    <row r="24" spans="2:11" x14ac:dyDescent="0.25">
      <c r="B24" s="4" t="s">
        <v>7</v>
      </c>
      <c r="C24" s="6">
        <v>22877</v>
      </c>
      <c r="D24" s="6">
        <v>9804</v>
      </c>
      <c r="E24" s="3">
        <v>0.42855269484635222</v>
      </c>
      <c r="F24" s="2">
        <v>316.25806451612902</v>
      </c>
      <c r="I24" s="10" t="s">
        <v>47</v>
      </c>
      <c r="J24" s="6">
        <v>279</v>
      </c>
      <c r="K24" s="6">
        <v>627</v>
      </c>
    </row>
    <row r="25" spans="2:11" x14ac:dyDescent="0.25">
      <c r="B25" s="4" t="s">
        <v>8</v>
      </c>
      <c r="C25" s="6">
        <v>21255</v>
      </c>
      <c r="D25" s="6">
        <v>8583</v>
      </c>
      <c r="E25" s="3">
        <v>0.40381086803105154</v>
      </c>
      <c r="F25" s="2">
        <v>306.53571428571428</v>
      </c>
      <c r="I25" s="10" t="s">
        <v>48</v>
      </c>
      <c r="J25" s="6">
        <v>179</v>
      </c>
      <c r="K25" s="6">
        <v>530</v>
      </c>
    </row>
    <row r="26" spans="2:11" x14ac:dyDescent="0.25">
      <c r="B26" s="4" t="s">
        <v>9</v>
      </c>
      <c r="C26" s="6">
        <v>23588</v>
      </c>
      <c r="D26" s="6">
        <v>8765</v>
      </c>
      <c r="E26" s="3">
        <v>0.37158724775309482</v>
      </c>
      <c r="F26" s="2">
        <v>282.74193548387098</v>
      </c>
      <c r="I26" s="10" t="s">
        <v>49</v>
      </c>
      <c r="J26" s="6">
        <v>287</v>
      </c>
      <c r="K26" s="6">
        <v>950</v>
      </c>
    </row>
    <row r="27" spans="2:11" x14ac:dyDescent="0.25">
      <c r="B27" s="4" t="s">
        <v>10</v>
      </c>
      <c r="C27" s="6">
        <v>22026</v>
      </c>
      <c r="D27" s="6">
        <v>8647</v>
      </c>
      <c r="E27" s="3">
        <v>0.39258149459729413</v>
      </c>
      <c r="F27" s="2">
        <v>288.23333333333335</v>
      </c>
      <c r="I27" s="10" t="s">
        <v>50</v>
      </c>
      <c r="J27" s="6">
        <v>406</v>
      </c>
      <c r="K27" s="6">
        <v>821</v>
      </c>
    </row>
    <row r="28" spans="2:11" x14ac:dyDescent="0.25">
      <c r="B28" s="4" t="s">
        <v>11</v>
      </c>
      <c r="C28" s="6">
        <v>23250</v>
      </c>
      <c r="D28" s="6">
        <v>9115</v>
      </c>
      <c r="E28" s="3">
        <v>0.39204301075268816</v>
      </c>
      <c r="F28" s="2">
        <v>294.03225806451616</v>
      </c>
      <c r="I28" s="10" t="s">
        <v>51</v>
      </c>
      <c r="J28" s="6">
        <v>317</v>
      </c>
      <c r="K28" s="6">
        <v>837</v>
      </c>
    </row>
    <row r="29" spans="2:11" x14ac:dyDescent="0.25">
      <c r="B29" s="4" t="s">
        <v>2</v>
      </c>
      <c r="C29" s="6">
        <v>112996</v>
      </c>
      <c r="D29" s="6">
        <v>44914</v>
      </c>
      <c r="E29" s="3">
        <v>0.3974830967467875</v>
      </c>
      <c r="F29" s="2">
        <v>297.44370860927154</v>
      </c>
      <c r="I29" s="10" t="s">
        <v>52</v>
      </c>
      <c r="J29" s="6">
        <v>181</v>
      </c>
      <c r="K29" s="6">
        <v>627</v>
      </c>
    </row>
    <row r="30" spans="2:11" x14ac:dyDescent="0.25">
      <c r="I30" s="10" t="s">
        <v>53</v>
      </c>
      <c r="J30" s="6">
        <v>491</v>
      </c>
      <c r="K30" s="6">
        <v>552</v>
      </c>
    </row>
    <row r="31" spans="2:11" x14ac:dyDescent="0.25">
      <c r="I31" s="10" t="s">
        <v>54</v>
      </c>
      <c r="J31" s="6">
        <v>300</v>
      </c>
      <c r="K31" s="6">
        <v>648</v>
      </c>
    </row>
    <row r="32" spans="2:11" x14ac:dyDescent="0.25">
      <c r="I32" s="10" t="s">
        <v>55</v>
      </c>
      <c r="J32" s="6">
        <v>420</v>
      </c>
      <c r="K32" s="6">
        <v>540</v>
      </c>
    </row>
    <row r="33" spans="9:11" x14ac:dyDescent="0.25">
      <c r="I33" s="10" t="s">
        <v>56</v>
      </c>
      <c r="J33" s="6">
        <v>461</v>
      </c>
      <c r="K33" s="6">
        <v>828</v>
      </c>
    </row>
    <row r="34" spans="9:11" x14ac:dyDescent="0.25">
      <c r="I34" s="10" t="s">
        <v>57</v>
      </c>
      <c r="J34" s="6">
        <v>337</v>
      </c>
      <c r="K34" s="6">
        <v>726</v>
      </c>
    </row>
    <row r="35" spans="9:11" x14ac:dyDescent="0.25">
      <c r="I35" s="10" t="s">
        <v>58</v>
      </c>
      <c r="J35" s="6">
        <v>206</v>
      </c>
      <c r="K35" s="6">
        <v>596</v>
      </c>
    </row>
    <row r="36" spans="9:11" x14ac:dyDescent="0.25">
      <c r="I36" s="10" t="s">
        <v>59</v>
      </c>
      <c r="J36" s="6">
        <v>192</v>
      </c>
      <c r="K36" s="6">
        <v>784</v>
      </c>
    </row>
    <row r="37" spans="9:11" x14ac:dyDescent="0.25">
      <c r="I37" s="10" t="s">
        <v>60</v>
      </c>
      <c r="J37" s="6">
        <v>225</v>
      </c>
      <c r="K37" s="6">
        <v>965</v>
      </c>
    </row>
    <row r="38" spans="9:11" x14ac:dyDescent="0.25">
      <c r="I38" s="10" t="s">
        <v>61</v>
      </c>
      <c r="J38" s="6">
        <v>486</v>
      </c>
      <c r="K38" s="6">
        <v>544</v>
      </c>
    </row>
    <row r="39" spans="9:11" x14ac:dyDescent="0.25">
      <c r="I39" s="10" t="s">
        <v>62</v>
      </c>
      <c r="J39" s="6">
        <v>368</v>
      </c>
      <c r="K39" s="6">
        <v>940</v>
      </c>
    </row>
    <row r="40" spans="9:11" x14ac:dyDescent="0.25">
      <c r="I40" s="10" t="s">
        <v>63</v>
      </c>
      <c r="J40" s="6">
        <v>138</v>
      </c>
      <c r="K40" s="6">
        <v>729</v>
      </c>
    </row>
    <row r="41" spans="9:11" x14ac:dyDescent="0.25">
      <c r="I41" s="10" t="s">
        <v>64</v>
      </c>
      <c r="J41" s="6">
        <v>343</v>
      </c>
      <c r="K41" s="6">
        <v>992</v>
      </c>
    </row>
    <row r="42" spans="9:11" x14ac:dyDescent="0.25">
      <c r="I42" s="10" t="s">
        <v>65</v>
      </c>
      <c r="J42" s="6">
        <v>382</v>
      </c>
      <c r="K42" s="6">
        <v>540</v>
      </c>
    </row>
    <row r="43" spans="9:11" x14ac:dyDescent="0.25">
      <c r="I43" s="10" t="s">
        <v>66</v>
      </c>
      <c r="J43" s="6">
        <v>275</v>
      </c>
      <c r="K43" s="6">
        <v>668</v>
      </c>
    </row>
    <row r="44" spans="9:11" x14ac:dyDescent="0.25">
      <c r="I44" s="10" t="s">
        <v>67</v>
      </c>
      <c r="J44" s="6">
        <v>448</v>
      </c>
      <c r="K44" s="6">
        <v>669</v>
      </c>
    </row>
    <row r="45" spans="9:11" x14ac:dyDescent="0.25">
      <c r="I45" s="10" t="s">
        <v>68</v>
      </c>
      <c r="J45" s="6">
        <v>169</v>
      </c>
      <c r="K45" s="6">
        <v>729</v>
      </c>
    </row>
    <row r="46" spans="9:11" x14ac:dyDescent="0.25">
      <c r="I46" s="10" t="s">
        <v>69</v>
      </c>
      <c r="J46" s="6">
        <v>348</v>
      </c>
      <c r="K46" s="6">
        <v>882</v>
      </c>
    </row>
    <row r="47" spans="9:11" x14ac:dyDescent="0.25">
      <c r="I47" s="10" t="s">
        <v>70</v>
      </c>
      <c r="J47" s="6">
        <v>405</v>
      </c>
      <c r="K47" s="6">
        <v>890</v>
      </c>
    </row>
    <row r="48" spans="9:11" x14ac:dyDescent="0.25">
      <c r="I48" s="10" t="s">
        <v>71</v>
      </c>
      <c r="J48" s="6">
        <v>139</v>
      </c>
      <c r="K48" s="6">
        <v>892</v>
      </c>
    </row>
    <row r="49" spans="9:11" x14ac:dyDescent="0.25">
      <c r="I49" s="10" t="s">
        <v>72</v>
      </c>
      <c r="J49" s="6">
        <v>474</v>
      </c>
      <c r="K49" s="6">
        <v>632</v>
      </c>
    </row>
    <row r="50" spans="9:11" x14ac:dyDescent="0.25">
      <c r="I50" s="10" t="s">
        <v>73</v>
      </c>
      <c r="J50" s="6">
        <v>180</v>
      </c>
      <c r="K50" s="6">
        <v>899</v>
      </c>
    </row>
    <row r="51" spans="9:11" x14ac:dyDescent="0.25">
      <c r="I51" s="10" t="s">
        <v>74</v>
      </c>
      <c r="J51" s="6">
        <v>280</v>
      </c>
      <c r="K51" s="6">
        <v>931</v>
      </c>
    </row>
    <row r="52" spans="9:11" x14ac:dyDescent="0.25">
      <c r="I52" s="10" t="s">
        <v>75</v>
      </c>
      <c r="J52" s="6">
        <v>444</v>
      </c>
      <c r="K52" s="6">
        <v>771</v>
      </c>
    </row>
    <row r="53" spans="9:11" x14ac:dyDescent="0.25">
      <c r="I53" s="10" t="s">
        <v>76</v>
      </c>
      <c r="J53" s="6">
        <v>168</v>
      </c>
      <c r="K53" s="6">
        <v>520</v>
      </c>
    </row>
    <row r="54" spans="9:11" x14ac:dyDescent="0.25">
      <c r="I54" s="10" t="s">
        <v>77</v>
      </c>
      <c r="J54" s="6">
        <v>476</v>
      </c>
      <c r="K54" s="6">
        <v>618</v>
      </c>
    </row>
    <row r="55" spans="9:11" x14ac:dyDescent="0.25">
      <c r="I55" s="4" t="s">
        <v>14</v>
      </c>
      <c r="J55" s="6"/>
      <c r="K55" s="6"/>
    </row>
    <row r="56" spans="9:11" x14ac:dyDescent="0.25">
      <c r="I56" s="10" t="s">
        <v>20</v>
      </c>
      <c r="J56" s="6">
        <v>446</v>
      </c>
      <c r="K56" s="6">
        <v>732</v>
      </c>
    </row>
    <row r="57" spans="9:11" x14ac:dyDescent="0.25">
      <c r="I57" s="10" t="s">
        <v>18</v>
      </c>
      <c r="J57" s="6">
        <v>437</v>
      </c>
      <c r="K57" s="6">
        <v>771</v>
      </c>
    </row>
    <row r="58" spans="9:11" x14ac:dyDescent="0.25">
      <c r="I58" s="10" t="s">
        <v>21</v>
      </c>
      <c r="J58" s="6">
        <v>251</v>
      </c>
      <c r="K58" s="6">
        <v>941</v>
      </c>
    </row>
    <row r="59" spans="9:11" x14ac:dyDescent="0.25">
      <c r="I59" s="10" t="s">
        <v>22</v>
      </c>
      <c r="J59" s="6">
        <v>176</v>
      </c>
      <c r="K59" s="6">
        <v>985</v>
      </c>
    </row>
    <row r="60" spans="9:11" x14ac:dyDescent="0.25">
      <c r="I60" s="10" t="s">
        <v>23</v>
      </c>
      <c r="J60" s="6">
        <v>299</v>
      </c>
      <c r="K60" s="6">
        <v>931</v>
      </c>
    </row>
    <row r="61" spans="9:11" x14ac:dyDescent="0.25">
      <c r="I61" s="10" t="s">
        <v>24</v>
      </c>
      <c r="J61" s="6">
        <v>108</v>
      </c>
      <c r="K61" s="6">
        <v>770</v>
      </c>
    </row>
    <row r="62" spans="9:11" x14ac:dyDescent="0.25">
      <c r="I62" s="10" t="s">
        <v>25</v>
      </c>
      <c r="J62" s="6">
        <v>222</v>
      </c>
      <c r="K62" s="6">
        <v>642</v>
      </c>
    </row>
    <row r="63" spans="9:11" x14ac:dyDescent="0.25">
      <c r="I63" s="10" t="s">
        <v>26</v>
      </c>
      <c r="J63" s="6">
        <v>183</v>
      </c>
      <c r="K63" s="6">
        <v>606</v>
      </c>
    </row>
    <row r="64" spans="9:11" x14ac:dyDescent="0.25">
      <c r="I64" s="10" t="s">
        <v>27</v>
      </c>
      <c r="J64" s="6">
        <v>447</v>
      </c>
      <c r="K64" s="6">
        <v>777</v>
      </c>
    </row>
    <row r="65" spans="9:11" x14ac:dyDescent="0.25">
      <c r="I65" s="10" t="s">
        <v>28</v>
      </c>
      <c r="J65" s="6">
        <v>407</v>
      </c>
      <c r="K65" s="6">
        <v>851</v>
      </c>
    </row>
    <row r="66" spans="9:11" x14ac:dyDescent="0.25">
      <c r="I66" s="10" t="s">
        <v>29</v>
      </c>
      <c r="J66" s="6">
        <v>452</v>
      </c>
      <c r="K66" s="6">
        <v>930</v>
      </c>
    </row>
    <row r="67" spans="9:11" x14ac:dyDescent="0.25">
      <c r="I67" s="10" t="s">
        <v>30</v>
      </c>
      <c r="J67" s="6">
        <v>205</v>
      </c>
      <c r="K67" s="6">
        <v>582</v>
      </c>
    </row>
    <row r="68" spans="9:11" x14ac:dyDescent="0.25">
      <c r="I68" s="10" t="s">
        <v>31</v>
      </c>
      <c r="J68" s="6">
        <v>345</v>
      </c>
      <c r="K68" s="6">
        <v>581</v>
      </c>
    </row>
    <row r="69" spans="9:11" x14ac:dyDescent="0.25">
      <c r="I69" s="10" t="s">
        <v>32</v>
      </c>
      <c r="J69" s="6">
        <v>495</v>
      </c>
      <c r="K69" s="6">
        <v>735</v>
      </c>
    </row>
    <row r="70" spans="9:11" x14ac:dyDescent="0.25">
      <c r="I70" s="10" t="s">
        <v>33</v>
      </c>
      <c r="J70" s="6">
        <v>283</v>
      </c>
      <c r="K70" s="6">
        <v>787</v>
      </c>
    </row>
    <row r="71" spans="9:11" x14ac:dyDescent="0.25">
      <c r="I71" s="10" t="s">
        <v>34</v>
      </c>
      <c r="J71" s="6">
        <v>115</v>
      </c>
      <c r="K71" s="6">
        <v>527</v>
      </c>
    </row>
    <row r="72" spans="9:11" x14ac:dyDescent="0.25">
      <c r="I72" s="10" t="s">
        <v>35</v>
      </c>
      <c r="J72" s="6">
        <v>105</v>
      </c>
      <c r="K72" s="6">
        <v>954</v>
      </c>
    </row>
    <row r="73" spans="9:11" x14ac:dyDescent="0.25">
      <c r="I73" s="10" t="s">
        <v>36</v>
      </c>
      <c r="J73" s="6">
        <v>180</v>
      </c>
      <c r="K73" s="6">
        <v>851</v>
      </c>
    </row>
    <row r="74" spans="9:11" x14ac:dyDescent="0.25">
      <c r="I74" s="10" t="s">
        <v>37</v>
      </c>
      <c r="J74" s="6">
        <v>490</v>
      </c>
      <c r="K74" s="6">
        <v>802</v>
      </c>
    </row>
    <row r="75" spans="9:11" x14ac:dyDescent="0.25">
      <c r="I75" s="10" t="s">
        <v>38</v>
      </c>
      <c r="J75" s="6">
        <v>366</v>
      </c>
      <c r="K75" s="6">
        <v>601</v>
      </c>
    </row>
    <row r="76" spans="9:11" x14ac:dyDescent="0.25">
      <c r="I76" s="10" t="s">
        <v>39</v>
      </c>
      <c r="J76" s="6">
        <v>348</v>
      </c>
      <c r="K76" s="6">
        <v>999</v>
      </c>
    </row>
    <row r="77" spans="9:11" x14ac:dyDescent="0.25">
      <c r="I77" s="10" t="s">
        <v>40</v>
      </c>
      <c r="J77" s="6">
        <v>123</v>
      </c>
      <c r="K77" s="6">
        <v>837</v>
      </c>
    </row>
    <row r="78" spans="9:11" x14ac:dyDescent="0.25">
      <c r="I78" s="10" t="s">
        <v>41</v>
      </c>
      <c r="J78" s="6">
        <v>435</v>
      </c>
      <c r="K78" s="6">
        <v>759</v>
      </c>
    </row>
    <row r="79" spans="9:11" x14ac:dyDescent="0.25">
      <c r="I79" s="10" t="s">
        <v>42</v>
      </c>
      <c r="J79" s="6">
        <v>378</v>
      </c>
      <c r="K79" s="6">
        <v>657</v>
      </c>
    </row>
    <row r="80" spans="9:11" x14ac:dyDescent="0.25">
      <c r="I80" s="10" t="s">
        <v>43</v>
      </c>
      <c r="J80" s="6">
        <v>312</v>
      </c>
      <c r="K80" s="6">
        <v>571</v>
      </c>
    </row>
    <row r="81" spans="9:11" x14ac:dyDescent="0.25">
      <c r="I81" s="10" t="s">
        <v>44</v>
      </c>
      <c r="J81" s="6">
        <v>341</v>
      </c>
      <c r="K81" s="6">
        <v>796</v>
      </c>
    </row>
    <row r="82" spans="9:11" x14ac:dyDescent="0.25">
      <c r="I82" s="10" t="s">
        <v>45</v>
      </c>
      <c r="J82" s="6">
        <v>309</v>
      </c>
      <c r="K82" s="6">
        <v>501</v>
      </c>
    </row>
    <row r="83" spans="9:11" x14ac:dyDescent="0.25">
      <c r="I83" s="10" t="s">
        <v>46</v>
      </c>
      <c r="J83" s="6">
        <v>325</v>
      </c>
      <c r="K83" s="6">
        <v>779</v>
      </c>
    </row>
    <row r="84" spans="9:11" x14ac:dyDescent="0.25">
      <c r="I84" s="4" t="s">
        <v>15</v>
      </c>
      <c r="J84" s="6"/>
      <c r="K84" s="6"/>
    </row>
    <row r="85" spans="9:11" x14ac:dyDescent="0.25">
      <c r="I85" s="10" t="s">
        <v>78</v>
      </c>
      <c r="J85" s="6">
        <v>193</v>
      </c>
      <c r="K85" s="6">
        <v>976</v>
      </c>
    </row>
    <row r="86" spans="9:11" x14ac:dyDescent="0.25">
      <c r="I86" s="10" t="s">
        <v>79</v>
      </c>
      <c r="J86" s="6">
        <v>114</v>
      </c>
      <c r="K86" s="6">
        <v>658</v>
      </c>
    </row>
    <row r="87" spans="9:11" x14ac:dyDescent="0.25">
      <c r="I87" s="10" t="s">
        <v>80</v>
      </c>
      <c r="J87" s="6">
        <v>256</v>
      </c>
      <c r="K87" s="6">
        <v>647</v>
      </c>
    </row>
    <row r="88" spans="9:11" x14ac:dyDescent="0.25">
      <c r="I88" s="10" t="s">
        <v>81</v>
      </c>
      <c r="J88" s="6">
        <v>407</v>
      </c>
      <c r="K88" s="6">
        <v>991</v>
      </c>
    </row>
    <row r="89" spans="9:11" x14ac:dyDescent="0.25">
      <c r="I89" s="10" t="s">
        <v>82</v>
      </c>
      <c r="J89" s="6">
        <v>146</v>
      </c>
      <c r="K89" s="6">
        <v>502</v>
      </c>
    </row>
    <row r="90" spans="9:11" x14ac:dyDescent="0.25">
      <c r="I90" s="10" t="s">
        <v>83</v>
      </c>
      <c r="J90" s="6">
        <v>315</v>
      </c>
      <c r="K90" s="6">
        <v>770</v>
      </c>
    </row>
    <row r="91" spans="9:11" x14ac:dyDescent="0.25">
      <c r="I91" s="10" t="s">
        <v>84</v>
      </c>
      <c r="J91" s="6">
        <v>499</v>
      </c>
      <c r="K91" s="6">
        <v>953</v>
      </c>
    </row>
    <row r="92" spans="9:11" x14ac:dyDescent="0.25">
      <c r="I92" s="10" t="s">
        <v>85</v>
      </c>
      <c r="J92" s="6">
        <v>161</v>
      </c>
      <c r="K92" s="6">
        <v>754</v>
      </c>
    </row>
    <row r="93" spans="9:11" x14ac:dyDescent="0.25">
      <c r="I93" s="10" t="s">
        <v>86</v>
      </c>
      <c r="J93" s="6">
        <v>376</v>
      </c>
      <c r="K93" s="6">
        <v>950</v>
      </c>
    </row>
    <row r="94" spans="9:11" x14ac:dyDescent="0.25">
      <c r="I94" s="10" t="s">
        <v>87</v>
      </c>
      <c r="J94" s="6">
        <v>266</v>
      </c>
      <c r="K94" s="6">
        <v>613</v>
      </c>
    </row>
    <row r="95" spans="9:11" x14ac:dyDescent="0.25">
      <c r="I95" s="10" t="s">
        <v>88</v>
      </c>
      <c r="J95" s="6">
        <v>373</v>
      </c>
      <c r="K95" s="6">
        <v>888</v>
      </c>
    </row>
    <row r="96" spans="9:11" x14ac:dyDescent="0.25">
      <c r="I96" s="10" t="s">
        <v>89</v>
      </c>
      <c r="J96" s="6">
        <v>443</v>
      </c>
      <c r="K96" s="6">
        <v>886</v>
      </c>
    </row>
    <row r="97" spans="9:11" x14ac:dyDescent="0.25">
      <c r="I97" s="10" t="s">
        <v>90</v>
      </c>
      <c r="J97" s="6">
        <v>286</v>
      </c>
      <c r="K97" s="6">
        <v>722</v>
      </c>
    </row>
    <row r="98" spans="9:11" x14ac:dyDescent="0.25">
      <c r="I98" s="10" t="s">
        <v>91</v>
      </c>
      <c r="J98" s="6">
        <v>326</v>
      </c>
      <c r="K98" s="6">
        <v>550</v>
      </c>
    </row>
    <row r="99" spans="9:11" x14ac:dyDescent="0.25">
      <c r="I99" s="10" t="s">
        <v>92</v>
      </c>
      <c r="J99" s="6">
        <v>222</v>
      </c>
      <c r="K99" s="6">
        <v>860</v>
      </c>
    </row>
    <row r="100" spans="9:11" x14ac:dyDescent="0.25">
      <c r="I100" s="10" t="s">
        <v>93</v>
      </c>
      <c r="J100" s="6">
        <v>429</v>
      </c>
      <c r="K100" s="6">
        <v>806</v>
      </c>
    </row>
    <row r="101" spans="9:11" x14ac:dyDescent="0.25">
      <c r="I101" s="10" t="s">
        <v>94</v>
      </c>
      <c r="J101" s="6">
        <v>284</v>
      </c>
      <c r="K101" s="6">
        <v>736</v>
      </c>
    </row>
    <row r="102" spans="9:11" x14ac:dyDescent="0.25">
      <c r="I102" s="10" t="s">
        <v>95</v>
      </c>
      <c r="J102" s="6">
        <v>246</v>
      </c>
      <c r="K102" s="6">
        <v>945</v>
      </c>
    </row>
    <row r="103" spans="9:11" x14ac:dyDescent="0.25">
      <c r="I103" s="10" t="s">
        <v>96</v>
      </c>
      <c r="J103" s="6">
        <v>352</v>
      </c>
      <c r="K103" s="6">
        <v>641</v>
      </c>
    </row>
    <row r="104" spans="9:11" x14ac:dyDescent="0.25">
      <c r="I104" s="10" t="s">
        <v>97</v>
      </c>
      <c r="J104" s="6">
        <v>154</v>
      </c>
      <c r="K104" s="6">
        <v>675</v>
      </c>
    </row>
    <row r="105" spans="9:11" x14ac:dyDescent="0.25">
      <c r="I105" s="10" t="s">
        <v>98</v>
      </c>
      <c r="J105" s="6">
        <v>221</v>
      </c>
      <c r="K105" s="6">
        <v>986</v>
      </c>
    </row>
    <row r="106" spans="9:11" x14ac:dyDescent="0.25">
      <c r="I106" s="10" t="s">
        <v>99</v>
      </c>
      <c r="J106" s="6">
        <v>410</v>
      </c>
      <c r="K106" s="6">
        <v>980</v>
      </c>
    </row>
    <row r="107" spans="9:11" x14ac:dyDescent="0.25">
      <c r="I107" s="10" t="s">
        <v>100</v>
      </c>
      <c r="J107" s="6">
        <v>306</v>
      </c>
      <c r="K107" s="6">
        <v>848</v>
      </c>
    </row>
    <row r="108" spans="9:11" x14ac:dyDescent="0.25">
      <c r="I108" s="10" t="s">
        <v>101</v>
      </c>
      <c r="J108" s="6">
        <v>120</v>
      </c>
      <c r="K108" s="6">
        <v>635</v>
      </c>
    </row>
    <row r="109" spans="9:11" x14ac:dyDescent="0.25">
      <c r="I109" s="10" t="s">
        <v>102</v>
      </c>
      <c r="J109" s="6">
        <v>225</v>
      </c>
      <c r="K109" s="6">
        <v>729</v>
      </c>
    </row>
    <row r="110" spans="9:11" x14ac:dyDescent="0.25">
      <c r="I110" s="10" t="s">
        <v>103</v>
      </c>
      <c r="J110" s="6">
        <v>185</v>
      </c>
      <c r="K110" s="6">
        <v>737</v>
      </c>
    </row>
    <row r="111" spans="9:11" x14ac:dyDescent="0.25">
      <c r="I111" s="10" t="s">
        <v>104</v>
      </c>
      <c r="J111" s="6">
        <v>407</v>
      </c>
      <c r="K111" s="6">
        <v>505</v>
      </c>
    </row>
    <row r="112" spans="9:11" x14ac:dyDescent="0.25">
      <c r="I112" s="10" t="s">
        <v>105</v>
      </c>
      <c r="J112" s="6">
        <v>186</v>
      </c>
      <c r="K112" s="6">
        <v>566</v>
      </c>
    </row>
    <row r="113" spans="9:11" x14ac:dyDescent="0.25">
      <c r="I113" s="10" t="s">
        <v>106</v>
      </c>
      <c r="J113" s="6">
        <v>483</v>
      </c>
      <c r="K113" s="6">
        <v>850</v>
      </c>
    </row>
    <row r="114" spans="9:11" x14ac:dyDescent="0.25">
      <c r="I114" s="10" t="s">
        <v>107</v>
      </c>
      <c r="J114" s="6">
        <v>167</v>
      </c>
      <c r="K114" s="6">
        <v>554</v>
      </c>
    </row>
    <row r="115" spans="9:11" x14ac:dyDescent="0.25">
      <c r="I115" s="10" t="s">
        <v>108</v>
      </c>
      <c r="J115" s="6">
        <v>207</v>
      </c>
      <c r="K115" s="6">
        <v>675</v>
      </c>
    </row>
    <row r="116" spans="9:11" x14ac:dyDescent="0.25">
      <c r="I116" s="4" t="s">
        <v>16</v>
      </c>
      <c r="J116" s="6"/>
      <c r="K116" s="6"/>
    </row>
    <row r="117" spans="9:11" x14ac:dyDescent="0.25">
      <c r="I117" s="10" t="s">
        <v>109</v>
      </c>
      <c r="J117" s="6">
        <v>456</v>
      </c>
      <c r="K117" s="6">
        <v>796</v>
      </c>
    </row>
    <row r="118" spans="9:11" x14ac:dyDescent="0.25">
      <c r="I118" s="10" t="s">
        <v>110</v>
      </c>
      <c r="J118" s="6">
        <v>239</v>
      </c>
      <c r="K118" s="6">
        <v>727</v>
      </c>
    </row>
    <row r="119" spans="9:11" x14ac:dyDescent="0.25">
      <c r="I119" s="10" t="s">
        <v>111</v>
      </c>
      <c r="J119" s="6">
        <v>352</v>
      </c>
      <c r="K119" s="6">
        <v>806</v>
      </c>
    </row>
    <row r="120" spans="9:11" x14ac:dyDescent="0.25">
      <c r="I120" s="10" t="s">
        <v>112</v>
      </c>
      <c r="J120" s="6">
        <v>240</v>
      </c>
      <c r="K120" s="6">
        <v>560</v>
      </c>
    </row>
    <row r="121" spans="9:11" x14ac:dyDescent="0.25">
      <c r="I121" s="10" t="s">
        <v>113</v>
      </c>
      <c r="J121" s="6">
        <v>432</v>
      </c>
      <c r="K121" s="6">
        <v>996</v>
      </c>
    </row>
    <row r="122" spans="9:11" x14ac:dyDescent="0.25">
      <c r="I122" s="10" t="s">
        <v>114</v>
      </c>
      <c r="J122" s="6">
        <v>205</v>
      </c>
      <c r="K122" s="6">
        <v>669</v>
      </c>
    </row>
    <row r="123" spans="9:11" x14ac:dyDescent="0.25">
      <c r="I123" s="10" t="s">
        <v>115</v>
      </c>
      <c r="J123" s="6">
        <v>117</v>
      </c>
      <c r="K123" s="6">
        <v>998</v>
      </c>
    </row>
    <row r="124" spans="9:11" x14ac:dyDescent="0.25">
      <c r="I124" s="10" t="s">
        <v>116</v>
      </c>
      <c r="J124" s="6">
        <v>221</v>
      </c>
      <c r="K124" s="6">
        <v>512</v>
      </c>
    </row>
    <row r="125" spans="9:11" x14ac:dyDescent="0.25">
      <c r="I125" s="10" t="s">
        <v>117</v>
      </c>
      <c r="J125" s="6">
        <v>175</v>
      </c>
      <c r="K125" s="6">
        <v>893</v>
      </c>
    </row>
    <row r="126" spans="9:11" x14ac:dyDescent="0.25">
      <c r="I126" s="10" t="s">
        <v>118</v>
      </c>
      <c r="J126" s="6">
        <v>288</v>
      </c>
      <c r="K126" s="6">
        <v>797</v>
      </c>
    </row>
    <row r="127" spans="9:11" x14ac:dyDescent="0.25">
      <c r="I127" s="10" t="s">
        <v>119</v>
      </c>
      <c r="J127" s="6">
        <v>452</v>
      </c>
      <c r="K127" s="6">
        <v>663</v>
      </c>
    </row>
    <row r="128" spans="9:11" x14ac:dyDescent="0.25">
      <c r="I128" s="10" t="s">
        <v>120</v>
      </c>
      <c r="J128" s="6">
        <v>491</v>
      </c>
      <c r="K128" s="6">
        <v>554</v>
      </c>
    </row>
    <row r="129" spans="9:11" x14ac:dyDescent="0.25">
      <c r="I129" s="10" t="s">
        <v>121</v>
      </c>
      <c r="J129" s="6">
        <v>260</v>
      </c>
      <c r="K129" s="6">
        <v>703</v>
      </c>
    </row>
    <row r="130" spans="9:11" x14ac:dyDescent="0.25">
      <c r="I130" s="10" t="s">
        <v>122</v>
      </c>
      <c r="J130" s="6">
        <v>358</v>
      </c>
      <c r="K130" s="6">
        <v>857</v>
      </c>
    </row>
    <row r="131" spans="9:11" x14ac:dyDescent="0.25">
      <c r="I131" s="10" t="s">
        <v>123</v>
      </c>
      <c r="J131" s="6">
        <v>460</v>
      </c>
      <c r="K131" s="6">
        <v>664</v>
      </c>
    </row>
    <row r="132" spans="9:11" x14ac:dyDescent="0.25">
      <c r="I132" s="10" t="s">
        <v>124</v>
      </c>
      <c r="J132" s="6">
        <v>273</v>
      </c>
      <c r="K132" s="6">
        <v>962</v>
      </c>
    </row>
    <row r="133" spans="9:11" x14ac:dyDescent="0.25">
      <c r="I133" s="10" t="s">
        <v>125</v>
      </c>
      <c r="J133" s="6">
        <v>280</v>
      </c>
      <c r="K133" s="6">
        <v>590</v>
      </c>
    </row>
    <row r="134" spans="9:11" x14ac:dyDescent="0.25">
      <c r="I134" s="10" t="s">
        <v>126</v>
      </c>
      <c r="J134" s="6">
        <v>491</v>
      </c>
      <c r="K134" s="6">
        <v>613</v>
      </c>
    </row>
    <row r="135" spans="9:11" x14ac:dyDescent="0.25">
      <c r="I135" s="10" t="s">
        <v>127</v>
      </c>
      <c r="J135" s="6">
        <v>249</v>
      </c>
      <c r="K135" s="6">
        <v>914</v>
      </c>
    </row>
    <row r="136" spans="9:11" x14ac:dyDescent="0.25">
      <c r="I136" s="10" t="s">
        <v>128</v>
      </c>
      <c r="J136" s="6">
        <v>158</v>
      </c>
      <c r="K136" s="6">
        <v>549</v>
      </c>
    </row>
    <row r="137" spans="9:11" x14ac:dyDescent="0.25">
      <c r="I137" s="10" t="s">
        <v>129</v>
      </c>
      <c r="J137" s="6">
        <v>201</v>
      </c>
      <c r="K137" s="6">
        <v>516</v>
      </c>
    </row>
    <row r="138" spans="9:11" x14ac:dyDescent="0.25">
      <c r="I138" s="10" t="s">
        <v>130</v>
      </c>
      <c r="J138" s="6">
        <v>265</v>
      </c>
      <c r="K138" s="6">
        <v>803</v>
      </c>
    </row>
    <row r="139" spans="9:11" x14ac:dyDescent="0.25">
      <c r="I139" s="10" t="s">
        <v>131</v>
      </c>
      <c r="J139" s="6">
        <v>411</v>
      </c>
      <c r="K139" s="6">
        <v>802</v>
      </c>
    </row>
    <row r="140" spans="9:11" x14ac:dyDescent="0.25">
      <c r="I140" s="10" t="s">
        <v>132</v>
      </c>
      <c r="J140" s="6">
        <v>105</v>
      </c>
      <c r="K140" s="6">
        <v>986</v>
      </c>
    </row>
    <row r="141" spans="9:11" x14ac:dyDescent="0.25">
      <c r="I141" s="10" t="s">
        <v>133</v>
      </c>
      <c r="J141" s="6">
        <v>174</v>
      </c>
      <c r="K141" s="6">
        <v>568</v>
      </c>
    </row>
    <row r="142" spans="9:11" x14ac:dyDescent="0.25">
      <c r="I142" s="10" t="s">
        <v>134</v>
      </c>
      <c r="J142" s="6">
        <v>346</v>
      </c>
      <c r="K142" s="6">
        <v>638</v>
      </c>
    </row>
    <row r="143" spans="9:11" x14ac:dyDescent="0.25">
      <c r="I143" s="10" t="s">
        <v>135</v>
      </c>
      <c r="J143" s="6">
        <v>233</v>
      </c>
      <c r="K143" s="6">
        <v>712</v>
      </c>
    </row>
    <row r="144" spans="9:11" x14ac:dyDescent="0.25">
      <c r="I144" s="10" t="s">
        <v>136</v>
      </c>
      <c r="J144" s="6">
        <v>182</v>
      </c>
      <c r="K144" s="6">
        <v>789</v>
      </c>
    </row>
    <row r="145" spans="9:11" x14ac:dyDescent="0.25">
      <c r="I145" s="10" t="s">
        <v>137</v>
      </c>
      <c r="J145" s="6">
        <v>123</v>
      </c>
      <c r="K145" s="6">
        <v>820</v>
      </c>
    </row>
    <row r="146" spans="9:11" x14ac:dyDescent="0.25">
      <c r="I146" s="10" t="s">
        <v>138</v>
      </c>
      <c r="J146" s="6">
        <v>410</v>
      </c>
      <c r="K146" s="6">
        <v>569</v>
      </c>
    </row>
    <row r="147" spans="9:11" x14ac:dyDescent="0.25">
      <c r="I147" s="4" t="s">
        <v>11</v>
      </c>
      <c r="J147" s="6"/>
      <c r="K147" s="6"/>
    </row>
    <row r="148" spans="9:11" x14ac:dyDescent="0.25">
      <c r="I148" s="10" t="s">
        <v>139</v>
      </c>
      <c r="J148" s="6">
        <v>309</v>
      </c>
      <c r="K148" s="6">
        <v>897</v>
      </c>
    </row>
    <row r="149" spans="9:11" x14ac:dyDescent="0.25">
      <c r="I149" s="10" t="s">
        <v>140</v>
      </c>
      <c r="J149" s="6">
        <v>430</v>
      </c>
      <c r="K149" s="6">
        <v>527</v>
      </c>
    </row>
    <row r="150" spans="9:11" x14ac:dyDescent="0.25">
      <c r="I150" s="10" t="s">
        <v>141</v>
      </c>
      <c r="J150" s="6">
        <v>288</v>
      </c>
      <c r="K150" s="6">
        <v>798</v>
      </c>
    </row>
    <row r="151" spans="9:11" x14ac:dyDescent="0.25">
      <c r="I151" s="10" t="s">
        <v>142</v>
      </c>
      <c r="J151" s="6">
        <v>207</v>
      </c>
      <c r="K151" s="6">
        <v>695</v>
      </c>
    </row>
    <row r="152" spans="9:11" x14ac:dyDescent="0.25">
      <c r="I152" s="10" t="s">
        <v>143</v>
      </c>
      <c r="J152" s="6">
        <v>313</v>
      </c>
      <c r="K152" s="6">
        <v>871</v>
      </c>
    </row>
    <row r="153" spans="9:11" x14ac:dyDescent="0.25">
      <c r="I153" s="10" t="s">
        <v>144</v>
      </c>
      <c r="J153" s="6">
        <v>238</v>
      </c>
      <c r="K153" s="6">
        <v>660</v>
      </c>
    </row>
    <row r="154" spans="9:11" x14ac:dyDescent="0.25">
      <c r="I154" s="10" t="s">
        <v>145</v>
      </c>
      <c r="J154" s="6">
        <v>419</v>
      </c>
      <c r="K154" s="6">
        <v>818</v>
      </c>
    </row>
    <row r="155" spans="9:11" x14ac:dyDescent="0.25">
      <c r="I155" s="10" t="s">
        <v>146</v>
      </c>
      <c r="J155" s="6">
        <v>256</v>
      </c>
      <c r="K155" s="6">
        <v>946</v>
      </c>
    </row>
    <row r="156" spans="9:11" x14ac:dyDescent="0.25">
      <c r="I156" s="10" t="s">
        <v>147</v>
      </c>
      <c r="J156" s="6">
        <v>355</v>
      </c>
      <c r="K156" s="6">
        <v>570</v>
      </c>
    </row>
    <row r="157" spans="9:11" x14ac:dyDescent="0.25">
      <c r="I157" s="10" t="s">
        <v>148</v>
      </c>
      <c r="J157" s="6">
        <v>206</v>
      </c>
      <c r="K157" s="6">
        <v>666</v>
      </c>
    </row>
    <row r="158" spans="9:11" x14ac:dyDescent="0.25">
      <c r="I158" s="10" t="s">
        <v>149</v>
      </c>
      <c r="J158" s="6">
        <v>170</v>
      </c>
      <c r="K158" s="6">
        <v>778</v>
      </c>
    </row>
    <row r="159" spans="9:11" x14ac:dyDescent="0.25">
      <c r="I159" s="10" t="s">
        <v>150</v>
      </c>
      <c r="J159" s="6">
        <v>126</v>
      </c>
      <c r="K159" s="6">
        <v>718</v>
      </c>
    </row>
    <row r="160" spans="9:11" x14ac:dyDescent="0.25">
      <c r="I160" s="10" t="s">
        <v>151</v>
      </c>
      <c r="J160" s="6">
        <v>426</v>
      </c>
      <c r="K160" s="6">
        <v>566</v>
      </c>
    </row>
    <row r="161" spans="9:11" x14ac:dyDescent="0.25">
      <c r="I161" s="10" t="s">
        <v>152</v>
      </c>
      <c r="J161" s="6">
        <v>326</v>
      </c>
      <c r="K161" s="6">
        <v>940</v>
      </c>
    </row>
    <row r="162" spans="9:11" x14ac:dyDescent="0.25">
      <c r="I162" s="10" t="s">
        <v>153</v>
      </c>
      <c r="J162" s="6">
        <v>341</v>
      </c>
      <c r="K162" s="6">
        <v>646</v>
      </c>
    </row>
    <row r="163" spans="9:11" x14ac:dyDescent="0.25">
      <c r="I163" s="10" t="s">
        <v>154</v>
      </c>
      <c r="J163" s="6">
        <v>439</v>
      </c>
      <c r="K163" s="6">
        <v>667</v>
      </c>
    </row>
    <row r="164" spans="9:11" x14ac:dyDescent="0.25">
      <c r="I164" s="10" t="s">
        <v>155</v>
      </c>
      <c r="J164" s="6">
        <v>275</v>
      </c>
      <c r="K164" s="6">
        <v>912</v>
      </c>
    </row>
    <row r="165" spans="9:11" x14ac:dyDescent="0.25">
      <c r="I165" s="10" t="s">
        <v>156</v>
      </c>
      <c r="J165" s="6">
        <v>329</v>
      </c>
      <c r="K165" s="6">
        <v>624</v>
      </c>
    </row>
    <row r="166" spans="9:11" x14ac:dyDescent="0.25">
      <c r="I166" s="10" t="s">
        <v>157</v>
      </c>
      <c r="J166" s="6">
        <v>133</v>
      </c>
      <c r="K166" s="6">
        <v>658</v>
      </c>
    </row>
    <row r="167" spans="9:11" x14ac:dyDescent="0.25">
      <c r="I167" s="10" t="s">
        <v>158</v>
      </c>
      <c r="J167" s="6">
        <v>491</v>
      </c>
      <c r="K167" s="6">
        <v>616</v>
      </c>
    </row>
    <row r="168" spans="9:11" x14ac:dyDescent="0.25">
      <c r="I168" s="10" t="s">
        <v>159</v>
      </c>
      <c r="J168" s="6">
        <v>151</v>
      </c>
      <c r="K168" s="6">
        <v>934</v>
      </c>
    </row>
    <row r="169" spans="9:11" x14ac:dyDescent="0.25">
      <c r="I169" s="10" t="s">
        <v>160</v>
      </c>
      <c r="J169" s="6">
        <v>101</v>
      </c>
      <c r="K169" s="6">
        <v>897</v>
      </c>
    </row>
    <row r="170" spans="9:11" x14ac:dyDescent="0.25">
      <c r="I170" s="10" t="s">
        <v>161</v>
      </c>
      <c r="J170" s="6">
        <v>416</v>
      </c>
      <c r="K170" s="6">
        <v>791</v>
      </c>
    </row>
    <row r="171" spans="9:11" x14ac:dyDescent="0.25">
      <c r="I171" s="10" t="s">
        <v>162</v>
      </c>
      <c r="J171" s="6">
        <v>339</v>
      </c>
      <c r="K171" s="6">
        <v>737</v>
      </c>
    </row>
    <row r="172" spans="9:11" x14ac:dyDescent="0.25">
      <c r="I172" s="10" t="s">
        <v>163</v>
      </c>
      <c r="J172" s="6">
        <v>233</v>
      </c>
      <c r="K172" s="6">
        <v>891</v>
      </c>
    </row>
    <row r="173" spans="9:11" x14ac:dyDescent="0.25">
      <c r="I173" s="10" t="s">
        <v>164</v>
      </c>
      <c r="J173" s="6">
        <v>113</v>
      </c>
      <c r="K173" s="6">
        <v>805</v>
      </c>
    </row>
    <row r="174" spans="9:11" x14ac:dyDescent="0.25">
      <c r="I174" s="10" t="s">
        <v>165</v>
      </c>
      <c r="J174" s="6">
        <v>110</v>
      </c>
      <c r="K174" s="6">
        <v>675</v>
      </c>
    </row>
    <row r="175" spans="9:11" x14ac:dyDescent="0.25">
      <c r="I175" s="10" t="s">
        <v>166</v>
      </c>
      <c r="J175" s="6">
        <v>272</v>
      </c>
      <c r="K175" s="6">
        <v>959</v>
      </c>
    </row>
    <row r="176" spans="9:11" x14ac:dyDescent="0.25">
      <c r="I176" s="10" t="s">
        <v>167</v>
      </c>
      <c r="J176" s="6">
        <v>489</v>
      </c>
      <c r="K176" s="6">
        <v>553</v>
      </c>
    </row>
    <row r="177" spans="9:11" x14ac:dyDescent="0.25">
      <c r="I177" s="10" t="s">
        <v>168</v>
      </c>
      <c r="J177" s="6">
        <v>370</v>
      </c>
      <c r="K177" s="6">
        <v>855</v>
      </c>
    </row>
    <row r="178" spans="9:11" x14ac:dyDescent="0.25">
      <c r="I178" s="10" t="s">
        <v>169</v>
      </c>
      <c r="J178" s="6">
        <v>444</v>
      </c>
      <c r="K178" s="6">
        <v>580</v>
      </c>
    </row>
    <row r="179" spans="9:11" x14ac:dyDescent="0.25">
      <c r="I179" s="4" t="s">
        <v>2</v>
      </c>
      <c r="J179" s="6">
        <v>44914</v>
      </c>
      <c r="K179" s="6">
        <v>112996</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D4AE2-14F4-4DEE-A6DA-A6A611B5AC28}">
  <dimension ref="A1:F3"/>
  <sheetViews>
    <sheetView showGridLines="0" tabSelected="1" zoomScale="91" zoomScaleNormal="85" workbookViewId="0">
      <selection activeCell="Q13" sqref="Q13"/>
    </sheetView>
  </sheetViews>
  <sheetFormatPr defaultRowHeight="15" x14ac:dyDescent="0.25"/>
  <sheetData>
    <row r="1" spans="1:6" ht="23.25" customHeight="1" x14ac:dyDescent="0.25">
      <c r="A1" s="11"/>
      <c r="B1" s="12"/>
      <c r="C1" s="12"/>
      <c r="D1" s="12"/>
      <c r="E1" s="12"/>
      <c r="F1" s="12"/>
    </row>
    <row r="2" spans="1:6" ht="15" customHeight="1" x14ac:dyDescent="0.25">
      <c r="A2" s="11"/>
      <c r="B2" s="12"/>
      <c r="C2" s="12"/>
      <c r="D2" s="12"/>
      <c r="E2" s="12"/>
      <c r="F2" s="12"/>
    </row>
    <row r="3" spans="1:6" ht="15" customHeight="1" x14ac:dyDescent="0.25">
      <c r="A3" s="11"/>
      <c r="B3" s="12"/>
      <c r="C3" s="12"/>
      <c r="D3" s="12"/>
      <c r="E3" s="12"/>
      <c r="F3" s="12"/>
    </row>
  </sheetData>
  <mergeCells count="1">
    <mergeCell ref="A1:F3"/>
  </mergeCells>
  <pageMargins left="0.7" right="0.7" top="0.75" bottom="0.75" header="0.3" footer="0.3"/>
  <pageSetup orientation="portrait" horizontalDpi="300" verticalDpi="30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PK: An Excel Expert</dc:creator>
  <cp:lastModifiedBy>renzo alporha</cp:lastModifiedBy>
  <dcterms:created xsi:type="dcterms:W3CDTF">2022-04-03T08:21:59Z</dcterms:created>
  <dcterms:modified xsi:type="dcterms:W3CDTF">2025-01-06T03:29:38Z</dcterms:modified>
</cp:coreProperties>
</file>